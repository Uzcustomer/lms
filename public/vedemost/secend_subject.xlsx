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codeName="ЭтаКнига" defaultThemeVersion="124226"/>
  <xr:revisionPtr revIDLastSave="0" documentId="13_ncr:1_{6FE6C023-72D0-42C1-9181-DDBC4287261A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vedemost" sheetId="11" r:id="rId1"/>
  </sheets>
  <definedNames>
    <definedName name="_xlnm.Print_Area" localSheetId="0">vedemost!$A$1:$AB$33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5" i="11" l="1"/>
  <c r="W25" i="11"/>
  <c r="P19" i="11" l="1"/>
  <c r="Y30" i="11" l="1"/>
  <c r="F29" i="11"/>
  <c r="Y19" i="11"/>
  <c r="C29" i="11"/>
  <c r="Q22" i="11" l="1"/>
  <c r="Z30" i="11"/>
  <c r="Y29" i="11"/>
  <c r="Z29" i="11" s="1"/>
  <c r="F30" i="11"/>
  <c r="K30" i="11" s="1"/>
  <c r="Q30" i="11"/>
  <c r="S30" i="11" s="1"/>
  <c r="Q29" i="11"/>
  <c r="S29" i="11" s="1"/>
  <c r="K29" i="11" l="1"/>
  <c r="W26" i="11"/>
  <c r="Y26" i="11" s="1"/>
</calcChain>
</file>

<file path=xl/sharedStrings.xml><?xml version="1.0" encoding="utf-8"?>
<sst xmlns="http://schemas.openxmlformats.org/spreadsheetml/2006/main" count="81" uniqueCount="58">
  <si>
    <t xml:space="preserve">                                                                                            O‘ZBEKISTON RESPUBLIKASI SOG‘LIQNI SAQLASH VAZIRLIGI                                                                                               </t>
  </si>
  <si>
    <t xml:space="preserve">BAHOLASH QAYDNOMASI № </t>
  </si>
  <si>
    <t>Taʼlim yo‘nalishi</t>
  </si>
  <si>
    <t>-</t>
  </si>
  <si>
    <t>kurs</t>
  </si>
  <si>
    <t xml:space="preserve">  semestr</t>
  </si>
  <si>
    <t xml:space="preserve"> - guruh</t>
  </si>
  <si>
    <t>Amaliyot o‘qituvchisi              </t>
  </si>
  <si>
    <t>Maʼruzachi:</t>
  </si>
  <si>
    <t xml:space="preserve"> kredit </t>
  </si>
  <si>
    <t>№</t>
  </si>
  <si>
    <t>YaN</t>
  </si>
  <si>
    <t>O‘zlashtirish ko‘rsatkichi</t>
  </si>
  <si>
    <t>YAN o‘tkazuvchi o‘qituvchi imzosi</t>
  </si>
  <si>
    <t>JN</t>
  </si>
  <si>
    <t>OSKE </t>
  </si>
  <si>
    <t>TEST</t>
  </si>
  <si>
    <t>%</t>
  </si>
  <si>
    <t>ball</t>
  </si>
  <si>
    <t>O‘rtacha foiz</t>
  </si>
  <si>
    <t>Guruhning sifat ko‘rsatkichi</t>
  </si>
  <si>
    <t>Jami talabalar soni: </t>
  </si>
  <si>
    <t>A  - “aʼlo”</t>
  </si>
  <si>
    <t>“kelmagan”</t>
  </si>
  <si>
    <t>B  -  “yaxshi”</t>
  </si>
  <si>
    <t xml:space="preserve">Kafedra mudiri </t>
  </si>
  <si>
    <t>imzo</t>
  </si>
  <si>
    <t>F.I.Sh.</t>
  </si>
  <si>
    <t xml:space="preserve">  TOSHKENT TIBBIYOT AKADEMIYASI TERMIZ FILIALI  </t>
  </si>
  <si>
    <t xml:space="preserve">Talabaning familiyasi, ismi-sharifi </t>
  </si>
  <si>
    <t xml:space="preserve">         Davolash ishi</t>
  </si>
  <si>
    <t xml:space="preserve">Fakultet dekani </t>
  </si>
  <si>
    <t>ECTS</t>
  </si>
  <si>
    <t>Talabaning ID raqami</t>
  </si>
  <si>
    <t>Semestrda modul (fan)ga ajratilgan umumiy soat    </t>
  </si>
  <si>
    <t xml:space="preserve">  C - “o‘rta”</t>
  </si>
  <si>
    <t xml:space="preserve">F - “qoniqarsiz” </t>
  </si>
  <si>
    <t xml:space="preserve">FX - “qo‘yilmadi” </t>
  </si>
  <si>
    <t>A.K.Sharipov</t>
  </si>
  <si>
    <t>M.O‘</t>
  </si>
  <si>
    <t xml:space="preserve"> 2024-2025 o‘quv yili  </t>
  </si>
  <si>
    <t xml:space="preserve"> Fan(modul) nomi </t>
  </si>
  <si>
    <t>JB+MT+ON</t>
  </si>
  <si>
    <t xml:space="preserve">          imzo</t>
  </si>
  <si>
    <t>d1/24-01</t>
  </si>
  <si>
    <t>abc</t>
  </si>
  <si>
    <t>Guruhning o‘zlashtirish ko‘rsatkichi</t>
  </si>
  <si>
    <t>12- shakl</t>
  </si>
  <si>
    <t xml:space="preserve">                   O‘ZBEKISTON RESPUBLIKASI OLIY TA’LIM, FAN VA INNOVATSIYALAR VAZIRLIGI</t>
  </si>
  <si>
    <t>Topshiriq bilan</t>
  </si>
  <si>
    <t>Topshiriqsiz</t>
  </si>
  <si>
    <t>1-SON DAVOLASH FAKULTETI</t>
  </si>
  <si>
    <t>Tibbiyot kasbiga kirish</t>
  </si>
  <si>
    <t>`</t>
  </si>
  <si>
    <t>JB 1</t>
  </si>
  <si>
    <t>MT 1</t>
  </si>
  <si>
    <t>JB 2</t>
  </si>
  <si>
    <t>MT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</si>
</sst>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u/>
      <sz val="14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rgb="FFFF0000"/>
      <name val="Times New Roman"/>
      <family val="1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20"/>
      <color theme="0" tint="-0.34998626667073579"/>
      <name val="Times New Roman"/>
      <family val="1"/>
    </font>
    <font>
      <sz val="20"/>
      <color rgb="FFFF0000"/>
      <name val="Times New Roman"/>
      <family val="1"/>
    </font>
    <font>
      <sz val="14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9" fontId="14" fillId="0" borderId="0" applyFont="0" applyFill="0" applyBorder="0" applyAlignment="0" applyProtection="0"/>
  </cellStyleXfs>
  <cellXfs count="190">
    <xf numFmtId="0" fontId="0" fillId="0" borderId="0" xfId="0"/>
    <xf numFmtId="0" fontId="2" fillId="0" borderId="13" xfId="0" applyFont="1" applyBorder="1" applyAlignment="1" applyProtection="1">
      <alignment horizontal="center" vertical="center" wrapText="1"/>
      <protection hidden="1"/>
    </xf>
    <xf numFmtId="0" fontId="1" fillId="0" borderId="14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Protection="1"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6" xfId="0" applyFont="1" applyFill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164" fontId="1" fillId="0" borderId="3" xfId="0" applyNumberFormat="1" applyFont="1" applyBorder="1" applyAlignment="1" applyProtection="1">
      <alignment horizontal="center" vertical="center"/>
      <protection hidden="1"/>
    </xf>
    <xf numFmtId="164" fontId="1" fillId="0" borderId="12" xfId="0" applyNumberFormat="1" applyFont="1" applyBorder="1" applyAlignment="1" applyProtection="1">
      <alignment horizontal="center"/>
      <protection hidden="1"/>
    </xf>
    <xf numFmtId="164" fontId="1" fillId="0" borderId="0" xfId="0" applyNumberFormat="1" applyFont="1" applyProtection="1"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164" fontId="1" fillId="2" borderId="0" xfId="0" applyNumberFormat="1" applyFont="1" applyFill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164" fontId="1" fillId="0" borderId="31" xfId="0" applyNumberFormat="1" applyFont="1" applyBorder="1" applyAlignment="1" applyProtection="1">
      <alignment horizontal="center"/>
      <protection hidden="1"/>
    </xf>
    <xf numFmtId="164" fontId="10" fillId="0" borderId="10" xfId="0" applyNumberFormat="1" applyFont="1" applyBorder="1" applyAlignment="1" applyProtection="1">
      <alignment horizontal="center"/>
      <protection hidden="1"/>
    </xf>
    <xf numFmtId="0" fontId="1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0" fontId="1" fillId="2" borderId="0" xfId="0" applyFont="1" applyFill="1" applyAlignment="1" applyProtection="1">
      <alignment horizontal="right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right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3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righ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4" fontId="8" fillId="0" borderId="0" xfId="0" applyNumberFormat="1" applyFont="1" applyAlignment="1" applyProtection="1">
      <alignment horizontal="center" vertical="center"/>
      <protection hidden="1"/>
    </xf>
    <xf numFmtId="1" fontId="2" fillId="2" borderId="33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center"/>
      <protection hidden="1"/>
    </xf>
    <xf numFmtId="164" fontId="2" fillId="0" borderId="10" xfId="0" applyNumberFormat="1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vertical="center" wrapText="1"/>
      <protection hidden="1"/>
    </xf>
    <xf numFmtId="0" fontId="5" fillId="0" borderId="0" xfId="0" applyFont="1" applyProtection="1"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164" fontId="2" fillId="2" borderId="0" xfId="0" applyNumberFormat="1" applyFont="1" applyFill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 wrapText="1"/>
      <protection hidden="1"/>
    </xf>
    <xf numFmtId="164" fontId="1" fillId="0" borderId="0" xfId="0" applyNumberFormat="1" applyFont="1" applyAlignment="1" applyProtection="1">
      <alignment horizontal="center"/>
      <protection hidden="1"/>
    </xf>
    <xf numFmtId="164" fontId="2" fillId="0" borderId="5" xfId="0" applyNumberFormat="1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hidden="1"/>
    </xf>
    <xf numFmtId="164" fontId="1" fillId="0" borderId="3" xfId="0" applyNumberFormat="1" applyFont="1" applyBorder="1" applyAlignment="1" applyProtection="1">
      <alignment horizontal="center"/>
      <protection hidden="1"/>
    </xf>
    <xf numFmtId="164" fontId="1" fillId="2" borderId="3" xfId="0" applyNumberFormat="1" applyFont="1" applyFill="1" applyBorder="1" applyAlignment="1" applyProtection="1">
      <alignment horizontal="center"/>
      <protection hidden="1"/>
    </xf>
    <xf numFmtId="0" fontId="1" fillId="0" borderId="1" xfId="0" applyFont="1" applyBorder="1" applyProtection="1">
      <protection hidden="1"/>
    </xf>
    <xf numFmtId="0" fontId="2" fillId="0" borderId="0" xfId="0" applyFont="1" applyAlignment="1" applyProtection="1">
      <alignment horizontal="center" vertical="center"/>
      <protection locked="0" hidden="1"/>
    </xf>
    <xf numFmtId="1" fontId="1" fillId="2" borderId="20" xfId="0" applyNumberFormat="1" applyFont="1" applyFill="1" applyBorder="1" applyAlignment="1" applyProtection="1">
      <alignment horizontal="center"/>
      <protection locked="0" hidden="1"/>
    </xf>
    <xf numFmtId="164" fontId="2" fillId="0" borderId="30" xfId="0" applyNumberFormat="1" applyFont="1" applyBorder="1" applyAlignment="1" applyProtection="1">
      <alignment horizontal="center"/>
      <protection hidden="1"/>
    </xf>
    <xf numFmtId="164" fontId="2" fillId="0" borderId="10" xfId="0" applyNumberFormat="1" applyFont="1" applyBorder="1" applyAlignment="1" applyProtection="1">
      <alignment horizontal="center"/>
      <protection locked="0" hidden="1"/>
    </xf>
    <xf numFmtId="0" fontId="11" fillId="0" borderId="0" xfId="0" applyFont="1" applyProtection="1">
      <protection hidden="1"/>
    </xf>
    <xf numFmtId="0" fontId="12" fillId="0" borderId="0" xfId="0" applyFont="1" applyProtection="1">
      <protection locked="0" hidden="1"/>
    </xf>
    <xf numFmtId="0" fontId="13" fillId="0" borderId="20" xfId="0" applyFont="1" applyBorder="1"/>
    <xf numFmtId="164" fontId="2" fillId="0" borderId="30" xfId="0" applyNumberFormat="1" applyFont="1" applyBorder="1" applyAlignment="1" applyProtection="1">
      <alignment horizontal="center"/>
      <protection locked="0" hidden="1"/>
    </xf>
    <xf numFmtId="0" fontId="1" fillId="0" borderId="32" xfId="0" applyFont="1" applyBorder="1" applyAlignment="1" applyProtection="1">
      <alignment horizontal="center"/>
      <protection hidden="1"/>
    </xf>
    <xf numFmtId="0" fontId="13" fillId="0" borderId="33" xfId="0" applyFont="1" applyBorder="1"/>
    <xf numFmtId="9" fontId="1" fillId="0" borderId="12" xfId="2" applyFont="1" applyBorder="1" applyAlignment="1" applyProtection="1">
      <alignment horizontal="center"/>
      <protection hidden="1"/>
    </xf>
    <xf numFmtId="164" fontId="10" fillId="0" borderId="15" xfId="0" applyNumberFormat="1" applyFont="1" applyBorder="1" applyAlignment="1" applyProtection="1">
      <alignment horizontal="center"/>
      <protection hidden="1"/>
    </xf>
    <xf numFmtId="9" fontId="1" fillId="0" borderId="17" xfId="2" applyFont="1" applyBorder="1" applyAlignment="1" applyProtection="1">
      <alignment horizontal="center"/>
      <protection hidden="1"/>
    </xf>
    <xf numFmtId="14" fontId="3" fillId="0" borderId="0" xfId="0" applyNumberFormat="1" applyFont="1" applyAlignment="1" applyProtection="1">
      <alignment vertical="center"/>
      <protection hidden="1"/>
    </xf>
    <xf numFmtId="14" fontId="2" fillId="0" borderId="0" xfId="0" applyNumberFormat="1" applyFont="1" applyAlignment="1" applyProtection="1">
      <alignment vertical="center"/>
      <protection hidden="1"/>
    </xf>
    <xf numFmtId="0" fontId="2" fillId="0" borderId="22" xfId="0" applyFont="1" applyBorder="1" applyAlignment="1" applyProtection="1">
      <alignment horizontal="center" vertical="center" wrapText="1"/>
      <protection hidden="1"/>
    </xf>
    <xf numFmtId="0" fontId="2" fillId="0" borderId="24" xfId="0" applyFont="1" applyBorder="1" applyAlignment="1" applyProtection="1">
      <alignment horizontal="center" vertical="center" wrapText="1"/>
      <protection hidden="1"/>
    </xf>
    <xf numFmtId="164" fontId="2" fillId="0" borderId="15" xfId="0" applyNumberFormat="1" applyFont="1" applyBorder="1" applyAlignment="1" applyProtection="1">
      <alignment horizontal="center"/>
      <protection locked="0" hidden="1"/>
    </xf>
    <xf numFmtId="164" fontId="1" fillId="0" borderId="17" xfId="0" applyNumberFormat="1" applyFont="1" applyBorder="1" applyAlignment="1" applyProtection="1">
      <alignment horizontal="center"/>
      <protection hidden="1"/>
    </xf>
    <xf numFmtId="164" fontId="2" fillId="0" borderId="44" xfId="0" applyNumberFormat="1" applyFont="1" applyBorder="1" applyAlignment="1" applyProtection="1">
      <alignment horizontal="center"/>
      <protection locked="0"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4" fontId="1" fillId="0" borderId="41" xfId="0" applyNumberFormat="1" applyFont="1" applyBorder="1" applyAlignment="1" applyProtection="1">
      <alignment horizontal="center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1" fontId="1" fillId="2" borderId="46" xfId="0" applyNumberFormat="1" applyFont="1" applyFill="1" applyBorder="1" applyAlignment="1" applyProtection="1">
      <alignment horizontal="center"/>
      <protection locked="0" hidden="1"/>
    </xf>
    <xf numFmtId="0" fontId="15" fillId="0" borderId="37" xfId="0" applyFont="1" applyBorder="1" applyAlignment="1" applyProtection="1">
      <alignment horizontal="center" vertical="center"/>
      <protection hidden="1"/>
    </xf>
    <xf numFmtId="0" fontId="15" fillId="0" borderId="38" xfId="0" applyFont="1" applyBorder="1" applyAlignment="1" applyProtection="1">
      <alignment horizontal="center" vertical="center"/>
      <protection hidden="1"/>
    </xf>
    <xf numFmtId="0" fontId="15" fillId="0" borderId="37" xfId="0" applyFont="1" applyBorder="1" applyAlignment="1" applyProtection="1">
      <alignment vertical="center"/>
      <protection hidden="1"/>
    </xf>
    <xf numFmtId="164" fontId="15" fillId="0" borderId="35" xfId="0" applyNumberFormat="1" applyFont="1" applyBorder="1" applyAlignment="1" applyProtection="1">
      <alignment horizontal="center" vertical="center"/>
      <protection hidden="1"/>
    </xf>
    <xf numFmtId="164" fontId="15" fillId="0" borderId="36" xfId="0" applyNumberFormat="1" applyFont="1" applyBorder="1" applyAlignment="1" applyProtection="1">
      <alignment horizontal="center" vertical="center"/>
      <protection hidden="1"/>
    </xf>
    <xf numFmtId="0" fontId="15" fillId="0" borderId="39" xfId="0" applyFont="1" applyBorder="1" applyAlignment="1" applyProtection="1">
      <alignment vertical="center" wrapText="1"/>
      <protection hidden="1"/>
    </xf>
    <xf numFmtId="0" fontId="15" fillId="0" borderId="35" xfId="0" applyFont="1" applyBorder="1" applyAlignment="1" applyProtection="1">
      <alignment vertical="center" wrapText="1"/>
      <protection hidden="1"/>
    </xf>
    <xf numFmtId="0" fontId="15" fillId="0" borderId="36" xfId="0" applyFont="1" applyBorder="1" applyAlignment="1" applyProtection="1">
      <alignment vertical="center" wrapText="1"/>
      <protection hidden="1"/>
    </xf>
    <xf numFmtId="0" fontId="15" fillId="0" borderId="38" xfId="0" applyFont="1" applyBorder="1" applyAlignment="1" applyProtection="1">
      <alignment vertical="center" wrapText="1"/>
      <protection hidden="1"/>
    </xf>
    <xf numFmtId="164" fontId="15" fillId="0" borderId="42" xfId="0" applyNumberFormat="1" applyFont="1" applyBorder="1" applyAlignment="1" applyProtection="1">
      <alignment horizontal="center" vertical="center"/>
      <protection hidden="1"/>
    </xf>
    <xf numFmtId="164" fontId="15" fillId="0" borderId="41" xfId="0" applyNumberFormat="1" applyFont="1" applyBorder="1" applyAlignment="1" applyProtection="1">
      <alignment horizontal="center" vertical="center"/>
      <protection hidden="1"/>
    </xf>
    <xf numFmtId="164" fontId="15" fillId="0" borderId="43" xfId="0" applyNumberFormat="1" applyFont="1" applyBorder="1" applyAlignment="1" applyProtection="1">
      <alignment horizontal="center" vertical="center"/>
      <protection hidden="1"/>
    </xf>
    <xf numFmtId="164" fontId="15" fillId="0" borderId="39" xfId="0" applyNumberFormat="1" applyFont="1" applyBorder="1" applyAlignment="1" applyProtection="1">
      <alignment horizontal="center" vertical="center"/>
      <protection hidden="1"/>
    </xf>
    <xf numFmtId="0" fontId="15" fillId="0" borderId="39" xfId="0" applyFont="1" applyBorder="1" applyProtection="1">
      <protection hidden="1"/>
    </xf>
    <xf numFmtId="164" fontId="15" fillId="0" borderId="37" xfId="0" applyNumberFormat="1" applyFont="1" applyBorder="1" applyAlignment="1" applyProtection="1">
      <alignment horizontal="center" vertical="center"/>
      <protection hidden="1"/>
    </xf>
    <xf numFmtId="0" fontId="15" fillId="0" borderId="39" xfId="0" applyFont="1" applyBorder="1" applyAlignment="1" applyProtection="1">
      <alignment vertical="center"/>
      <protection hidden="1"/>
    </xf>
    <xf numFmtId="164" fontId="15" fillId="2" borderId="24" xfId="0" applyNumberFormat="1" applyFont="1" applyFill="1" applyBorder="1" applyAlignment="1" applyProtection="1">
      <alignment horizontal="center" vertical="center"/>
      <protection hidden="1"/>
    </xf>
    <xf numFmtId="164" fontId="15" fillId="2" borderId="38" xfId="0" applyNumberFormat="1" applyFont="1" applyFill="1" applyBorder="1" applyAlignment="1" applyProtection="1">
      <alignment horizontal="center" vertical="center"/>
      <protection hidden="1"/>
    </xf>
    <xf numFmtId="0" fontId="15" fillId="0" borderId="40" xfId="0" applyFont="1" applyBorder="1" applyAlignment="1" applyProtection="1">
      <alignment horizontal="center" vertical="center"/>
      <protection hidden="1"/>
    </xf>
    <xf numFmtId="0" fontId="15" fillId="0" borderId="0" xfId="0" applyFont="1" applyProtection="1"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 indent="2"/>
      <protection hidden="1"/>
    </xf>
    <xf numFmtId="0" fontId="2" fillId="0" borderId="1" xfId="0" applyFont="1" applyBorder="1" applyAlignment="1" applyProtection="1">
      <alignment horizontal="left"/>
      <protection locked="0"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right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left" vertical="center"/>
      <protection locked="0" hidden="1"/>
    </xf>
    <xf numFmtId="0" fontId="1" fillId="2" borderId="0" xfId="0" applyFont="1" applyFill="1" applyAlignment="1" applyProtection="1">
      <alignment horizontal="right" vertical="center"/>
      <protection hidden="1"/>
    </xf>
    <xf numFmtId="14" fontId="2" fillId="0" borderId="1" xfId="0" applyNumberFormat="1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 applyProtection="1">
      <alignment horizontal="left"/>
      <protection locked="0"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2" xfId="0" applyFont="1" applyBorder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2" borderId="20" xfId="0" applyFont="1" applyFill="1" applyBorder="1" applyAlignment="1" applyProtection="1">
      <alignment horizontal="center" vertical="center" textRotation="90" wrapText="1"/>
      <protection hidden="1"/>
    </xf>
    <xf numFmtId="0" fontId="2" fillId="2" borderId="21" xfId="0" applyFont="1" applyFill="1" applyBorder="1" applyAlignment="1" applyProtection="1">
      <alignment horizontal="center" vertical="center" textRotation="90" wrapText="1"/>
      <protection hidden="1"/>
    </xf>
    <xf numFmtId="0" fontId="2" fillId="2" borderId="22" xfId="0" applyFont="1" applyFill="1" applyBorder="1" applyAlignment="1" applyProtection="1">
      <alignment horizontal="center" vertical="center" textRotation="90" wrapText="1"/>
      <protection hidden="1"/>
    </xf>
    <xf numFmtId="0" fontId="2" fillId="2" borderId="23" xfId="0" applyFont="1" applyFill="1" applyBorder="1" applyAlignment="1" applyProtection="1">
      <alignment horizontal="center" vertical="center" textRotation="90" wrapText="1"/>
      <protection hidden="1"/>
    </xf>
    <xf numFmtId="0" fontId="2" fillId="0" borderId="30" xfId="0" applyFont="1" applyBorder="1" applyAlignment="1" applyProtection="1">
      <alignment horizontal="center" vertical="center" wrapText="1"/>
      <protection hidden="1"/>
    </xf>
    <xf numFmtId="0" fontId="2" fillId="0" borderId="31" xfId="0" applyFont="1" applyBorder="1" applyAlignment="1" applyProtection="1">
      <alignment horizontal="center" vertical="center" wrapText="1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32" xfId="0" applyFont="1" applyBorder="1" applyAlignment="1" applyProtection="1">
      <alignment horizontal="center" vertical="center"/>
      <protection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2" fillId="0" borderId="21" xfId="0" applyFont="1" applyBorder="1" applyAlignment="1" applyProtection="1">
      <alignment horizontal="center" vertical="center" wrapText="1"/>
      <protection hidden="1"/>
    </xf>
    <xf numFmtId="0" fontId="2" fillId="0" borderId="33" xfId="0" applyFont="1" applyBorder="1" applyAlignment="1" applyProtection="1">
      <alignment horizontal="center" vertical="center" wrapText="1"/>
      <protection hidden="1"/>
    </xf>
    <xf numFmtId="0" fontId="2" fillId="0" borderId="22" xfId="0" applyFont="1" applyBorder="1" applyAlignment="1" applyProtection="1">
      <alignment horizontal="center" vertical="center" wrapText="1"/>
      <protection hidden="1"/>
    </xf>
    <xf numFmtId="0" fontId="2" fillId="0" borderId="23" xfId="0" applyFont="1" applyBorder="1" applyAlignment="1" applyProtection="1">
      <alignment horizontal="center" vertical="center" wrapText="1"/>
      <protection hidden="1"/>
    </xf>
    <xf numFmtId="0" fontId="2" fillId="0" borderId="24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25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26" xfId="0" applyFont="1" applyBorder="1" applyAlignment="1" applyProtection="1">
      <alignment horizontal="center" vertical="center"/>
      <protection hidden="1"/>
    </xf>
    <xf numFmtId="14" fontId="2" fillId="0" borderId="0" xfId="0" applyNumberFormat="1" applyFont="1" applyAlignment="1" applyProtection="1">
      <alignment horizontal="center" vertical="center" wrapText="1"/>
      <protection locked="0" hidden="1"/>
    </xf>
    <xf numFmtId="0" fontId="2" fillId="0" borderId="18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 wrapText="1"/>
      <protection hidden="1"/>
    </xf>
    <xf numFmtId="0" fontId="2" fillId="0" borderId="32" xfId="0" applyFont="1" applyBorder="1" applyAlignment="1" applyProtection="1">
      <alignment horizontal="center" vertical="center" wrapText="1"/>
      <protection hidden="1"/>
    </xf>
    <xf numFmtId="0" fontId="2" fillId="0" borderId="34" xfId="0" applyFont="1" applyBorder="1" applyAlignment="1" applyProtection="1">
      <alignment horizontal="center" vertical="center" wrapText="1"/>
      <protection hidden="1"/>
    </xf>
    <xf numFmtId="0" fontId="2" fillId="0" borderId="28" xfId="0" applyFont="1" applyBorder="1" applyAlignment="1" applyProtection="1">
      <alignment horizontal="center" vertical="center" wrapText="1"/>
      <protection hidden="1"/>
    </xf>
    <xf numFmtId="0" fontId="1" fillId="0" borderId="25" xfId="0" applyFont="1" applyBorder="1" applyAlignment="1" applyProtection="1">
      <alignment horizontal="center"/>
      <protection hidden="1"/>
    </xf>
    <xf numFmtId="0" fontId="1" fillId="0" borderId="29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2" fillId="0" borderId="44" xfId="0" applyFont="1" applyBorder="1" applyAlignment="1" applyProtection="1">
      <alignment horizontal="center" vertical="center" wrapText="1"/>
      <protection hidden="1"/>
    </xf>
    <xf numFmtId="0" fontId="2" fillId="0" borderId="45" xfId="0" applyFont="1" applyBorder="1" applyAlignment="1" applyProtection="1">
      <alignment horizontal="center" vertical="center" wrapText="1"/>
      <protection hidden="1"/>
    </xf>
    <xf numFmtId="1" fontId="2" fillId="0" borderId="0" xfId="0" applyNumberFormat="1" applyFont="1" applyAlignment="1" applyProtection="1">
      <alignment horizontal="center" vertical="center" wrapText="1"/>
      <protection hidden="1"/>
    </xf>
    <xf numFmtId="1" fontId="2" fillId="0" borderId="29" xfId="0" applyNumberFormat="1" applyFont="1" applyBorder="1" applyAlignment="1" applyProtection="1">
      <alignment horizontal="center" vertical="center" wrapText="1"/>
      <protection hidden="1"/>
    </xf>
    <xf numFmtId="164" fontId="2" fillId="0" borderId="5" xfId="0" applyNumberFormat="1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164" fontId="2" fillId="0" borderId="2" xfId="0" applyNumberFormat="1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left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6" xfId="0" applyFont="1" applyFill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locked="0" hidden="1"/>
    </xf>
    <xf numFmtId="0" fontId="1" fillId="0" borderId="4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 vertical="center"/>
      <protection hidden="1"/>
    </xf>
  </cellXfs>
  <cellStyles count="3">
    <cellStyle name="Обычный" xfId="0" builtinId="0"/>
    <cellStyle name="Обычный 2" xfId="1" xr:uid="{00000000-0005-0000-0000-000001000000}"/>
    <cellStyle name="Процентный" xfId="2" builtinId="5"/>
  </cellStyles>
  <dxfs count="0"/>
  <tableStyles count="0" defaultTableStyle="TableStyleMedium2" defaultPivotStyle="PivotStyleMedium9"/>
  <colors>
    <mruColors>
      <color rgb="FFFFC1C1"/>
      <color rgb="FFFFB3B3"/>
      <color rgb="FFFF9B9B"/>
      <color rgb="FFDD8269"/>
      <color rgb="FFF0B2EC"/>
      <color rgb="FFF9ADA9"/>
      <color rgb="FFF6AC98"/>
      <color rgb="FFFDD8D3"/>
      <color rgb="FFF97F6F"/>
      <color rgb="FFE5C5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K58"/>
  <sheetViews>
    <sheetView tabSelected="1" view="pageBreakPreview" topLeftCell="A2" zoomScale="73" zoomScaleNormal="80" zoomScaleSheetLayoutView="25" workbookViewId="0">
      <selection activeCell="AB24" sqref="AB24:AB29"/>
    </sheetView>
  </sheetViews>
  <sheetFormatPr defaultRowHeight="18" x14ac:dyDescent="0.4"/>
  <cols>
    <col min="1" max="1" width="6.7265625" style="4" customWidth="1"/>
    <col min="2" max="2" width="65.54296875" style="4" bestFit="1" customWidth="1"/>
    <col min="3" max="3" width="19.26953125" style="4" customWidth="1"/>
    <col min="4" max="4" width="9.7265625" style="4" customWidth="1"/>
    <col min="5" max="5" width="9.54296875" style="4" customWidth="1"/>
    <col min="6" max="6" width="2.1796875" style="4" customWidth="1"/>
    <col min="7" max="7" width="9.7265625" style="4" customWidth="1"/>
    <col min="8" max="8" width="10.26953125" style="4" customWidth="1"/>
    <col min="9" max="9" width="2.453125" style="4" customWidth="1"/>
    <col min="10" max="10" width="8.26953125" style="4" customWidth="1"/>
    <col min="11" max="11" width="8" style="4" customWidth="1"/>
    <col min="12" max="12" width="1.7265625" style="4" customWidth="1"/>
    <col min="13" max="13" width="9.81640625" style="4" customWidth="1"/>
    <col min="14" max="14" width="10.54296875" style="4" customWidth="1"/>
    <col min="15" max="15" width="1.7265625" style="4" customWidth="1"/>
    <col min="16" max="16" width="10.1796875" style="4" customWidth="1"/>
    <col min="17" max="17" width="9.81640625" style="4" customWidth="1"/>
    <col min="18" max="18" width="1.54296875" style="4" customWidth="1"/>
    <col min="19" max="19" width="9" style="4" customWidth="1"/>
    <col min="20" max="20" width="8.26953125" style="4" customWidth="1"/>
    <col min="21" max="21" width="2.1796875" style="4" customWidth="1"/>
    <col min="22" max="22" width="9.7265625" style="4" customWidth="1"/>
    <col min="23" max="23" width="9" style="4" customWidth="1"/>
    <col min="24" max="24" width="2.1796875" style="4" customWidth="1"/>
    <col min="25" max="25" width="11.1796875" style="4" customWidth="1"/>
    <col min="26" max="26" width="11.453125" style="4" bestFit="1" customWidth="1"/>
    <col min="27" max="27" width="28.81640625" style="4" customWidth="1"/>
    <col min="28" max="28" width="20.7265625" style="4" customWidth="1"/>
    <col min="29" max="29" width="9.1796875" style="4"/>
    <col min="30" max="30" width="35.26953125" style="4" customWidth="1"/>
    <col min="31" max="36" width="9.1796875" style="4"/>
    <col min="37" max="37" width="25.81640625" style="4" bestFit="1" customWidth="1"/>
    <col min="38" max="258" width="9.1796875" style="4"/>
    <col min="259" max="259" width="5.54296875" style="4" bestFit="1" customWidth="1"/>
    <col min="260" max="260" width="45.81640625" style="4" customWidth="1"/>
    <col min="261" max="261" width="15.26953125" style="4" customWidth="1"/>
    <col min="262" max="262" width="9.81640625" style="4" customWidth="1"/>
    <col min="263" max="263" width="8.7265625" style="4" customWidth="1"/>
    <col min="264" max="264" width="2.1796875" style="4" customWidth="1"/>
    <col min="265" max="266" width="9" style="4" customWidth="1"/>
    <col min="267" max="267" width="2.453125" style="4" customWidth="1"/>
    <col min="268" max="270" width="9" style="4" customWidth="1"/>
    <col min="271" max="271" width="9.81640625" style="4" customWidth="1"/>
    <col min="272" max="272" width="2.26953125" style="4" customWidth="1"/>
    <col min="273" max="274" width="9" style="4" customWidth="1"/>
    <col min="275" max="275" width="2.1796875" style="4" customWidth="1"/>
    <col min="276" max="277" width="9" style="4" customWidth="1"/>
    <col min="278" max="278" width="2.1796875" style="4" customWidth="1"/>
    <col min="279" max="280" width="10.1796875" style="4" customWidth="1"/>
    <col min="281" max="282" width="10.81640625" style="4" customWidth="1"/>
    <col min="283" max="283" width="31.7265625" style="4" customWidth="1"/>
    <col min="284" max="284" width="10.453125" style="4" bestFit="1" customWidth="1"/>
    <col min="285" max="514" width="9.1796875" style="4"/>
    <col min="515" max="515" width="5.54296875" style="4" bestFit="1" customWidth="1"/>
    <col min="516" max="516" width="45.81640625" style="4" customWidth="1"/>
    <col min="517" max="517" width="15.26953125" style="4" customWidth="1"/>
    <col min="518" max="518" width="9.81640625" style="4" customWidth="1"/>
    <col min="519" max="519" width="8.7265625" style="4" customWidth="1"/>
    <col min="520" max="520" width="2.1796875" style="4" customWidth="1"/>
    <col min="521" max="522" width="9" style="4" customWidth="1"/>
    <col min="523" max="523" width="2.453125" style="4" customWidth="1"/>
    <col min="524" max="526" width="9" style="4" customWidth="1"/>
    <col min="527" max="527" width="9.81640625" style="4" customWidth="1"/>
    <col min="528" max="528" width="2.26953125" style="4" customWidth="1"/>
    <col min="529" max="530" width="9" style="4" customWidth="1"/>
    <col min="531" max="531" width="2.1796875" style="4" customWidth="1"/>
    <col min="532" max="533" width="9" style="4" customWidth="1"/>
    <col min="534" max="534" width="2.1796875" style="4" customWidth="1"/>
    <col min="535" max="536" width="10.1796875" style="4" customWidth="1"/>
    <col min="537" max="538" width="10.81640625" style="4" customWidth="1"/>
    <col min="539" max="539" width="31.7265625" style="4" customWidth="1"/>
    <col min="540" max="540" width="10.453125" style="4" bestFit="1" customWidth="1"/>
    <col min="541" max="770" width="9.1796875" style="4"/>
    <col min="771" max="771" width="5.54296875" style="4" bestFit="1" customWidth="1"/>
    <col min="772" max="772" width="45.81640625" style="4" customWidth="1"/>
    <col min="773" max="773" width="15.26953125" style="4" customWidth="1"/>
    <col min="774" max="774" width="9.81640625" style="4" customWidth="1"/>
    <col min="775" max="775" width="8.7265625" style="4" customWidth="1"/>
    <col min="776" max="776" width="2.1796875" style="4" customWidth="1"/>
    <col min="777" max="778" width="9" style="4" customWidth="1"/>
    <col min="779" max="779" width="2.453125" style="4" customWidth="1"/>
    <col min="780" max="782" width="9" style="4" customWidth="1"/>
    <col min="783" max="783" width="9.81640625" style="4" customWidth="1"/>
    <col min="784" max="784" width="2.26953125" style="4" customWidth="1"/>
    <col min="785" max="786" width="9" style="4" customWidth="1"/>
    <col min="787" max="787" width="2.1796875" style="4" customWidth="1"/>
    <col min="788" max="789" width="9" style="4" customWidth="1"/>
    <col min="790" max="790" width="2.1796875" style="4" customWidth="1"/>
    <col min="791" max="792" width="10.1796875" style="4" customWidth="1"/>
    <col min="793" max="794" width="10.81640625" style="4" customWidth="1"/>
    <col min="795" max="795" width="31.7265625" style="4" customWidth="1"/>
    <col min="796" max="796" width="10.453125" style="4" bestFit="1" customWidth="1"/>
    <col min="797" max="1026" width="9.1796875" style="4"/>
    <col min="1027" max="1027" width="5.54296875" style="4" bestFit="1" customWidth="1"/>
    <col min="1028" max="1028" width="45.81640625" style="4" customWidth="1"/>
    <col min="1029" max="1029" width="15.26953125" style="4" customWidth="1"/>
    <col min="1030" max="1030" width="9.81640625" style="4" customWidth="1"/>
    <col min="1031" max="1031" width="8.7265625" style="4" customWidth="1"/>
    <col min="1032" max="1032" width="2.1796875" style="4" customWidth="1"/>
    <col min="1033" max="1034" width="9" style="4" customWidth="1"/>
    <col min="1035" max="1035" width="2.453125" style="4" customWidth="1"/>
    <col min="1036" max="1038" width="9" style="4" customWidth="1"/>
    <col min="1039" max="1039" width="9.81640625" style="4" customWidth="1"/>
    <col min="1040" max="1040" width="2.26953125" style="4" customWidth="1"/>
    <col min="1041" max="1042" width="9" style="4" customWidth="1"/>
    <col min="1043" max="1043" width="2.1796875" style="4" customWidth="1"/>
    <col min="1044" max="1045" width="9" style="4" customWidth="1"/>
    <col min="1046" max="1046" width="2.1796875" style="4" customWidth="1"/>
    <col min="1047" max="1048" width="10.1796875" style="4" customWidth="1"/>
    <col min="1049" max="1050" width="10.81640625" style="4" customWidth="1"/>
    <col min="1051" max="1051" width="31.7265625" style="4" customWidth="1"/>
    <col min="1052" max="1052" width="10.453125" style="4" bestFit="1" customWidth="1"/>
    <col min="1053" max="1282" width="9.1796875" style="4"/>
    <col min="1283" max="1283" width="5.54296875" style="4" bestFit="1" customWidth="1"/>
    <col min="1284" max="1284" width="45.81640625" style="4" customWidth="1"/>
    <col min="1285" max="1285" width="15.26953125" style="4" customWidth="1"/>
    <col min="1286" max="1286" width="9.81640625" style="4" customWidth="1"/>
    <col min="1287" max="1287" width="8.7265625" style="4" customWidth="1"/>
    <col min="1288" max="1288" width="2.1796875" style="4" customWidth="1"/>
    <col min="1289" max="1290" width="9" style="4" customWidth="1"/>
    <col min="1291" max="1291" width="2.453125" style="4" customWidth="1"/>
    <col min="1292" max="1294" width="9" style="4" customWidth="1"/>
    <col min="1295" max="1295" width="9.81640625" style="4" customWidth="1"/>
    <col min="1296" max="1296" width="2.26953125" style="4" customWidth="1"/>
    <col min="1297" max="1298" width="9" style="4" customWidth="1"/>
    <col min="1299" max="1299" width="2.1796875" style="4" customWidth="1"/>
    <col min="1300" max="1301" width="9" style="4" customWidth="1"/>
    <col min="1302" max="1302" width="2.1796875" style="4" customWidth="1"/>
    <col min="1303" max="1304" width="10.1796875" style="4" customWidth="1"/>
    <col min="1305" max="1306" width="10.81640625" style="4" customWidth="1"/>
    <col min="1307" max="1307" width="31.7265625" style="4" customWidth="1"/>
    <col min="1308" max="1308" width="10.453125" style="4" bestFit="1" customWidth="1"/>
    <col min="1309" max="1538" width="9.1796875" style="4"/>
    <col min="1539" max="1539" width="5.54296875" style="4" bestFit="1" customWidth="1"/>
    <col min="1540" max="1540" width="45.81640625" style="4" customWidth="1"/>
    <col min="1541" max="1541" width="15.26953125" style="4" customWidth="1"/>
    <col min="1542" max="1542" width="9.81640625" style="4" customWidth="1"/>
    <col min="1543" max="1543" width="8.7265625" style="4" customWidth="1"/>
    <col min="1544" max="1544" width="2.1796875" style="4" customWidth="1"/>
    <col min="1545" max="1546" width="9" style="4" customWidth="1"/>
    <col min="1547" max="1547" width="2.453125" style="4" customWidth="1"/>
    <col min="1548" max="1550" width="9" style="4" customWidth="1"/>
    <col min="1551" max="1551" width="9.81640625" style="4" customWidth="1"/>
    <col min="1552" max="1552" width="2.26953125" style="4" customWidth="1"/>
    <col min="1553" max="1554" width="9" style="4" customWidth="1"/>
    <col min="1555" max="1555" width="2.1796875" style="4" customWidth="1"/>
    <col min="1556" max="1557" width="9" style="4" customWidth="1"/>
    <col min="1558" max="1558" width="2.1796875" style="4" customWidth="1"/>
    <col min="1559" max="1560" width="10.1796875" style="4" customWidth="1"/>
    <col min="1561" max="1562" width="10.81640625" style="4" customWidth="1"/>
    <col min="1563" max="1563" width="31.7265625" style="4" customWidth="1"/>
    <col min="1564" max="1564" width="10.453125" style="4" bestFit="1" customWidth="1"/>
    <col min="1565" max="1794" width="9.1796875" style="4"/>
    <col min="1795" max="1795" width="5.54296875" style="4" bestFit="1" customWidth="1"/>
    <col min="1796" max="1796" width="45.81640625" style="4" customWidth="1"/>
    <col min="1797" max="1797" width="15.26953125" style="4" customWidth="1"/>
    <col min="1798" max="1798" width="9.81640625" style="4" customWidth="1"/>
    <col min="1799" max="1799" width="8.7265625" style="4" customWidth="1"/>
    <col min="1800" max="1800" width="2.1796875" style="4" customWidth="1"/>
    <col min="1801" max="1802" width="9" style="4" customWidth="1"/>
    <col min="1803" max="1803" width="2.453125" style="4" customWidth="1"/>
    <col min="1804" max="1806" width="9" style="4" customWidth="1"/>
    <col min="1807" max="1807" width="9.81640625" style="4" customWidth="1"/>
    <col min="1808" max="1808" width="2.26953125" style="4" customWidth="1"/>
    <col min="1809" max="1810" width="9" style="4" customWidth="1"/>
    <col min="1811" max="1811" width="2.1796875" style="4" customWidth="1"/>
    <col min="1812" max="1813" width="9" style="4" customWidth="1"/>
    <col min="1814" max="1814" width="2.1796875" style="4" customWidth="1"/>
    <col min="1815" max="1816" width="10.1796875" style="4" customWidth="1"/>
    <col min="1817" max="1818" width="10.81640625" style="4" customWidth="1"/>
    <col min="1819" max="1819" width="31.7265625" style="4" customWidth="1"/>
    <col min="1820" max="1820" width="10.453125" style="4" bestFit="1" customWidth="1"/>
    <col min="1821" max="2050" width="9.1796875" style="4"/>
    <col min="2051" max="2051" width="5.54296875" style="4" bestFit="1" customWidth="1"/>
    <col min="2052" max="2052" width="45.81640625" style="4" customWidth="1"/>
    <col min="2053" max="2053" width="15.26953125" style="4" customWidth="1"/>
    <col min="2054" max="2054" width="9.81640625" style="4" customWidth="1"/>
    <col min="2055" max="2055" width="8.7265625" style="4" customWidth="1"/>
    <col min="2056" max="2056" width="2.1796875" style="4" customWidth="1"/>
    <col min="2057" max="2058" width="9" style="4" customWidth="1"/>
    <col min="2059" max="2059" width="2.453125" style="4" customWidth="1"/>
    <col min="2060" max="2062" width="9" style="4" customWidth="1"/>
    <col min="2063" max="2063" width="9.81640625" style="4" customWidth="1"/>
    <col min="2064" max="2064" width="2.26953125" style="4" customWidth="1"/>
    <col min="2065" max="2066" width="9" style="4" customWidth="1"/>
    <col min="2067" max="2067" width="2.1796875" style="4" customWidth="1"/>
    <col min="2068" max="2069" width="9" style="4" customWidth="1"/>
    <col min="2070" max="2070" width="2.1796875" style="4" customWidth="1"/>
    <col min="2071" max="2072" width="10.1796875" style="4" customWidth="1"/>
    <col min="2073" max="2074" width="10.81640625" style="4" customWidth="1"/>
    <col min="2075" max="2075" width="31.7265625" style="4" customWidth="1"/>
    <col min="2076" max="2076" width="10.453125" style="4" bestFit="1" customWidth="1"/>
    <col min="2077" max="2306" width="9.1796875" style="4"/>
    <col min="2307" max="2307" width="5.54296875" style="4" bestFit="1" customWidth="1"/>
    <col min="2308" max="2308" width="45.81640625" style="4" customWidth="1"/>
    <col min="2309" max="2309" width="15.26953125" style="4" customWidth="1"/>
    <col min="2310" max="2310" width="9.81640625" style="4" customWidth="1"/>
    <col min="2311" max="2311" width="8.7265625" style="4" customWidth="1"/>
    <col min="2312" max="2312" width="2.1796875" style="4" customWidth="1"/>
    <col min="2313" max="2314" width="9" style="4" customWidth="1"/>
    <col min="2315" max="2315" width="2.453125" style="4" customWidth="1"/>
    <col min="2316" max="2318" width="9" style="4" customWidth="1"/>
    <col min="2319" max="2319" width="9.81640625" style="4" customWidth="1"/>
    <col min="2320" max="2320" width="2.26953125" style="4" customWidth="1"/>
    <col min="2321" max="2322" width="9" style="4" customWidth="1"/>
    <col min="2323" max="2323" width="2.1796875" style="4" customWidth="1"/>
    <col min="2324" max="2325" width="9" style="4" customWidth="1"/>
    <col min="2326" max="2326" width="2.1796875" style="4" customWidth="1"/>
    <col min="2327" max="2328" width="10.1796875" style="4" customWidth="1"/>
    <col min="2329" max="2330" width="10.81640625" style="4" customWidth="1"/>
    <col min="2331" max="2331" width="31.7265625" style="4" customWidth="1"/>
    <col min="2332" max="2332" width="10.453125" style="4" bestFit="1" customWidth="1"/>
    <col min="2333" max="2562" width="9.1796875" style="4"/>
    <col min="2563" max="2563" width="5.54296875" style="4" bestFit="1" customWidth="1"/>
    <col min="2564" max="2564" width="45.81640625" style="4" customWidth="1"/>
    <col min="2565" max="2565" width="15.26953125" style="4" customWidth="1"/>
    <col min="2566" max="2566" width="9.81640625" style="4" customWidth="1"/>
    <col min="2567" max="2567" width="8.7265625" style="4" customWidth="1"/>
    <col min="2568" max="2568" width="2.1796875" style="4" customWidth="1"/>
    <col min="2569" max="2570" width="9" style="4" customWidth="1"/>
    <col min="2571" max="2571" width="2.453125" style="4" customWidth="1"/>
    <col min="2572" max="2574" width="9" style="4" customWidth="1"/>
    <col min="2575" max="2575" width="9.81640625" style="4" customWidth="1"/>
    <col min="2576" max="2576" width="2.26953125" style="4" customWidth="1"/>
    <col min="2577" max="2578" width="9" style="4" customWidth="1"/>
    <col min="2579" max="2579" width="2.1796875" style="4" customWidth="1"/>
    <col min="2580" max="2581" width="9" style="4" customWidth="1"/>
    <col min="2582" max="2582" width="2.1796875" style="4" customWidth="1"/>
    <col min="2583" max="2584" width="10.1796875" style="4" customWidth="1"/>
    <col min="2585" max="2586" width="10.81640625" style="4" customWidth="1"/>
    <col min="2587" max="2587" width="31.7265625" style="4" customWidth="1"/>
    <col min="2588" max="2588" width="10.453125" style="4" bestFit="1" customWidth="1"/>
    <col min="2589" max="2818" width="9.1796875" style="4"/>
    <col min="2819" max="2819" width="5.54296875" style="4" bestFit="1" customWidth="1"/>
    <col min="2820" max="2820" width="45.81640625" style="4" customWidth="1"/>
    <col min="2821" max="2821" width="15.26953125" style="4" customWidth="1"/>
    <col min="2822" max="2822" width="9.81640625" style="4" customWidth="1"/>
    <col min="2823" max="2823" width="8.7265625" style="4" customWidth="1"/>
    <col min="2824" max="2824" width="2.1796875" style="4" customWidth="1"/>
    <col min="2825" max="2826" width="9" style="4" customWidth="1"/>
    <col min="2827" max="2827" width="2.453125" style="4" customWidth="1"/>
    <col min="2828" max="2830" width="9" style="4" customWidth="1"/>
    <col min="2831" max="2831" width="9.81640625" style="4" customWidth="1"/>
    <col min="2832" max="2832" width="2.26953125" style="4" customWidth="1"/>
    <col min="2833" max="2834" width="9" style="4" customWidth="1"/>
    <col min="2835" max="2835" width="2.1796875" style="4" customWidth="1"/>
    <col min="2836" max="2837" width="9" style="4" customWidth="1"/>
    <col min="2838" max="2838" width="2.1796875" style="4" customWidth="1"/>
    <col min="2839" max="2840" width="10.1796875" style="4" customWidth="1"/>
    <col min="2841" max="2842" width="10.81640625" style="4" customWidth="1"/>
    <col min="2843" max="2843" width="31.7265625" style="4" customWidth="1"/>
    <col min="2844" max="2844" width="10.453125" style="4" bestFit="1" customWidth="1"/>
    <col min="2845" max="3074" width="9.1796875" style="4"/>
    <col min="3075" max="3075" width="5.54296875" style="4" bestFit="1" customWidth="1"/>
    <col min="3076" max="3076" width="45.81640625" style="4" customWidth="1"/>
    <col min="3077" max="3077" width="15.26953125" style="4" customWidth="1"/>
    <col min="3078" max="3078" width="9.81640625" style="4" customWidth="1"/>
    <col min="3079" max="3079" width="8.7265625" style="4" customWidth="1"/>
    <col min="3080" max="3080" width="2.1796875" style="4" customWidth="1"/>
    <col min="3081" max="3082" width="9" style="4" customWidth="1"/>
    <col min="3083" max="3083" width="2.453125" style="4" customWidth="1"/>
    <col min="3084" max="3086" width="9" style="4" customWidth="1"/>
    <col min="3087" max="3087" width="9.81640625" style="4" customWidth="1"/>
    <col min="3088" max="3088" width="2.26953125" style="4" customWidth="1"/>
    <col min="3089" max="3090" width="9" style="4" customWidth="1"/>
    <col min="3091" max="3091" width="2.1796875" style="4" customWidth="1"/>
    <col min="3092" max="3093" width="9" style="4" customWidth="1"/>
    <col min="3094" max="3094" width="2.1796875" style="4" customWidth="1"/>
    <col min="3095" max="3096" width="10.1796875" style="4" customWidth="1"/>
    <col min="3097" max="3098" width="10.81640625" style="4" customWidth="1"/>
    <col min="3099" max="3099" width="31.7265625" style="4" customWidth="1"/>
    <col min="3100" max="3100" width="10.453125" style="4" bestFit="1" customWidth="1"/>
    <col min="3101" max="3330" width="9.1796875" style="4"/>
    <col min="3331" max="3331" width="5.54296875" style="4" bestFit="1" customWidth="1"/>
    <col min="3332" max="3332" width="45.81640625" style="4" customWidth="1"/>
    <col min="3333" max="3333" width="15.26953125" style="4" customWidth="1"/>
    <col min="3334" max="3334" width="9.81640625" style="4" customWidth="1"/>
    <col min="3335" max="3335" width="8.7265625" style="4" customWidth="1"/>
    <col min="3336" max="3336" width="2.1796875" style="4" customWidth="1"/>
    <col min="3337" max="3338" width="9" style="4" customWidth="1"/>
    <col min="3339" max="3339" width="2.453125" style="4" customWidth="1"/>
    <col min="3340" max="3342" width="9" style="4" customWidth="1"/>
    <col min="3343" max="3343" width="9.81640625" style="4" customWidth="1"/>
    <col min="3344" max="3344" width="2.26953125" style="4" customWidth="1"/>
    <col min="3345" max="3346" width="9" style="4" customWidth="1"/>
    <col min="3347" max="3347" width="2.1796875" style="4" customWidth="1"/>
    <col min="3348" max="3349" width="9" style="4" customWidth="1"/>
    <col min="3350" max="3350" width="2.1796875" style="4" customWidth="1"/>
    <col min="3351" max="3352" width="10.1796875" style="4" customWidth="1"/>
    <col min="3353" max="3354" width="10.81640625" style="4" customWidth="1"/>
    <col min="3355" max="3355" width="31.7265625" style="4" customWidth="1"/>
    <col min="3356" max="3356" width="10.453125" style="4" bestFit="1" customWidth="1"/>
    <col min="3357" max="3586" width="9.1796875" style="4"/>
    <col min="3587" max="3587" width="5.54296875" style="4" bestFit="1" customWidth="1"/>
    <col min="3588" max="3588" width="45.81640625" style="4" customWidth="1"/>
    <col min="3589" max="3589" width="15.26953125" style="4" customWidth="1"/>
    <col min="3590" max="3590" width="9.81640625" style="4" customWidth="1"/>
    <col min="3591" max="3591" width="8.7265625" style="4" customWidth="1"/>
    <col min="3592" max="3592" width="2.1796875" style="4" customWidth="1"/>
    <col min="3593" max="3594" width="9" style="4" customWidth="1"/>
    <col min="3595" max="3595" width="2.453125" style="4" customWidth="1"/>
    <col min="3596" max="3598" width="9" style="4" customWidth="1"/>
    <col min="3599" max="3599" width="9.81640625" style="4" customWidth="1"/>
    <col min="3600" max="3600" width="2.26953125" style="4" customWidth="1"/>
    <col min="3601" max="3602" width="9" style="4" customWidth="1"/>
    <col min="3603" max="3603" width="2.1796875" style="4" customWidth="1"/>
    <col min="3604" max="3605" width="9" style="4" customWidth="1"/>
    <col min="3606" max="3606" width="2.1796875" style="4" customWidth="1"/>
    <col min="3607" max="3608" width="10.1796875" style="4" customWidth="1"/>
    <col min="3609" max="3610" width="10.81640625" style="4" customWidth="1"/>
    <col min="3611" max="3611" width="31.7265625" style="4" customWidth="1"/>
    <col min="3612" max="3612" width="10.453125" style="4" bestFit="1" customWidth="1"/>
    <col min="3613" max="3842" width="9.1796875" style="4"/>
    <col min="3843" max="3843" width="5.54296875" style="4" bestFit="1" customWidth="1"/>
    <col min="3844" max="3844" width="45.81640625" style="4" customWidth="1"/>
    <col min="3845" max="3845" width="15.26953125" style="4" customWidth="1"/>
    <col min="3846" max="3846" width="9.81640625" style="4" customWidth="1"/>
    <col min="3847" max="3847" width="8.7265625" style="4" customWidth="1"/>
    <col min="3848" max="3848" width="2.1796875" style="4" customWidth="1"/>
    <col min="3849" max="3850" width="9" style="4" customWidth="1"/>
    <col min="3851" max="3851" width="2.453125" style="4" customWidth="1"/>
    <col min="3852" max="3854" width="9" style="4" customWidth="1"/>
    <col min="3855" max="3855" width="9.81640625" style="4" customWidth="1"/>
    <col min="3856" max="3856" width="2.26953125" style="4" customWidth="1"/>
    <col min="3857" max="3858" width="9" style="4" customWidth="1"/>
    <col min="3859" max="3859" width="2.1796875" style="4" customWidth="1"/>
    <col min="3860" max="3861" width="9" style="4" customWidth="1"/>
    <col min="3862" max="3862" width="2.1796875" style="4" customWidth="1"/>
    <col min="3863" max="3864" width="10.1796875" style="4" customWidth="1"/>
    <col min="3865" max="3866" width="10.81640625" style="4" customWidth="1"/>
    <col min="3867" max="3867" width="31.7265625" style="4" customWidth="1"/>
    <col min="3868" max="3868" width="10.453125" style="4" bestFit="1" customWidth="1"/>
    <col min="3869" max="4098" width="9.1796875" style="4"/>
    <col min="4099" max="4099" width="5.54296875" style="4" bestFit="1" customWidth="1"/>
    <col min="4100" max="4100" width="45.81640625" style="4" customWidth="1"/>
    <col min="4101" max="4101" width="15.26953125" style="4" customWidth="1"/>
    <col min="4102" max="4102" width="9.81640625" style="4" customWidth="1"/>
    <col min="4103" max="4103" width="8.7265625" style="4" customWidth="1"/>
    <col min="4104" max="4104" width="2.1796875" style="4" customWidth="1"/>
    <col min="4105" max="4106" width="9" style="4" customWidth="1"/>
    <col min="4107" max="4107" width="2.453125" style="4" customWidth="1"/>
    <col min="4108" max="4110" width="9" style="4" customWidth="1"/>
    <col min="4111" max="4111" width="9.81640625" style="4" customWidth="1"/>
    <col min="4112" max="4112" width="2.26953125" style="4" customWidth="1"/>
    <col min="4113" max="4114" width="9" style="4" customWidth="1"/>
    <col min="4115" max="4115" width="2.1796875" style="4" customWidth="1"/>
    <col min="4116" max="4117" width="9" style="4" customWidth="1"/>
    <col min="4118" max="4118" width="2.1796875" style="4" customWidth="1"/>
    <col min="4119" max="4120" width="10.1796875" style="4" customWidth="1"/>
    <col min="4121" max="4122" width="10.81640625" style="4" customWidth="1"/>
    <col min="4123" max="4123" width="31.7265625" style="4" customWidth="1"/>
    <col min="4124" max="4124" width="10.453125" style="4" bestFit="1" customWidth="1"/>
    <col min="4125" max="4354" width="9.1796875" style="4"/>
    <col min="4355" max="4355" width="5.54296875" style="4" bestFit="1" customWidth="1"/>
    <col min="4356" max="4356" width="45.81640625" style="4" customWidth="1"/>
    <col min="4357" max="4357" width="15.26953125" style="4" customWidth="1"/>
    <col min="4358" max="4358" width="9.81640625" style="4" customWidth="1"/>
    <col min="4359" max="4359" width="8.7265625" style="4" customWidth="1"/>
    <col min="4360" max="4360" width="2.1796875" style="4" customWidth="1"/>
    <col min="4361" max="4362" width="9" style="4" customWidth="1"/>
    <col min="4363" max="4363" width="2.453125" style="4" customWidth="1"/>
    <col min="4364" max="4366" width="9" style="4" customWidth="1"/>
    <col min="4367" max="4367" width="9.81640625" style="4" customWidth="1"/>
    <col min="4368" max="4368" width="2.26953125" style="4" customWidth="1"/>
    <col min="4369" max="4370" width="9" style="4" customWidth="1"/>
    <col min="4371" max="4371" width="2.1796875" style="4" customWidth="1"/>
    <col min="4372" max="4373" width="9" style="4" customWidth="1"/>
    <col min="4374" max="4374" width="2.1796875" style="4" customWidth="1"/>
    <col min="4375" max="4376" width="10.1796875" style="4" customWidth="1"/>
    <col min="4377" max="4378" width="10.81640625" style="4" customWidth="1"/>
    <col min="4379" max="4379" width="31.7265625" style="4" customWidth="1"/>
    <col min="4380" max="4380" width="10.453125" style="4" bestFit="1" customWidth="1"/>
    <col min="4381" max="4610" width="9.1796875" style="4"/>
    <col min="4611" max="4611" width="5.54296875" style="4" bestFit="1" customWidth="1"/>
    <col min="4612" max="4612" width="45.81640625" style="4" customWidth="1"/>
    <col min="4613" max="4613" width="15.26953125" style="4" customWidth="1"/>
    <col min="4614" max="4614" width="9.81640625" style="4" customWidth="1"/>
    <col min="4615" max="4615" width="8.7265625" style="4" customWidth="1"/>
    <col min="4616" max="4616" width="2.1796875" style="4" customWidth="1"/>
    <col min="4617" max="4618" width="9" style="4" customWidth="1"/>
    <col min="4619" max="4619" width="2.453125" style="4" customWidth="1"/>
    <col min="4620" max="4622" width="9" style="4" customWidth="1"/>
    <col min="4623" max="4623" width="9.81640625" style="4" customWidth="1"/>
    <col min="4624" max="4624" width="2.26953125" style="4" customWidth="1"/>
    <col min="4625" max="4626" width="9" style="4" customWidth="1"/>
    <col min="4627" max="4627" width="2.1796875" style="4" customWidth="1"/>
    <col min="4628" max="4629" width="9" style="4" customWidth="1"/>
    <col min="4630" max="4630" width="2.1796875" style="4" customWidth="1"/>
    <col min="4631" max="4632" width="10.1796875" style="4" customWidth="1"/>
    <col min="4633" max="4634" width="10.81640625" style="4" customWidth="1"/>
    <col min="4635" max="4635" width="31.7265625" style="4" customWidth="1"/>
    <col min="4636" max="4636" width="10.453125" style="4" bestFit="1" customWidth="1"/>
    <col min="4637" max="4866" width="9.1796875" style="4"/>
    <col min="4867" max="4867" width="5.54296875" style="4" bestFit="1" customWidth="1"/>
    <col min="4868" max="4868" width="45.81640625" style="4" customWidth="1"/>
    <col min="4869" max="4869" width="15.26953125" style="4" customWidth="1"/>
    <col min="4870" max="4870" width="9.81640625" style="4" customWidth="1"/>
    <col min="4871" max="4871" width="8.7265625" style="4" customWidth="1"/>
    <col min="4872" max="4872" width="2.1796875" style="4" customWidth="1"/>
    <col min="4873" max="4874" width="9" style="4" customWidth="1"/>
    <col min="4875" max="4875" width="2.453125" style="4" customWidth="1"/>
    <col min="4876" max="4878" width="9" style="4" customWidth="1"/>
    <col min="4879" max="4879" width="9.81640625" style="4" customWidth="1"/>
    <col min="4880" max="4880" width="2.26953125" style="4" customWidth="1"/>
    <col min="4881" max="4882" width="9" style="4" customWidth="1"/>
    <col min="4883" max="4883" width="2.1796875" style="4" customWidth="1"/>
    <col min="4884" max="4885" width="9" style="4" customWidth="1"/>
    <col min="4886" max="4886" width="2.1796875" style="4" customWidth="1"/>
    <col min="4887" max="4888" width="10.1796875" style="4" customWidth="1"/>
    <col min="4889" max="4890" width="10.81640625" style="4" customWidth="1"/>
    <col min="4891" max="4891" width="31.7265625" style="4" customWidth="1"/>
    <col min="4892" max="4892" width="10.453125" style="4" bestFit="1" customWidth="1"/>
    <col min="4893" max="5122" width="9.1796875" style="4"/>
    <col min="5123" max="5123" width="5.54296875" style="4" bestFit="1" customWidth="1"/>
    <col min="5124" max="5124" width="45.81640625" style="4" customWidth="1"/>
    <col min="5125" max="5125" width="15.26953125" style="4" customWidth="1"/>
    <col min="5126" max="5126" width="9.81640625" style="4" customWidth="1"/>
    <col min="5127" max="5127" width="8.7265625" style="4" customWidth="1"/>
    <col min="5128" max="5128" width="2.1796875" style="4" customWidth="1"/>
    <col min="5129" max="5130" width="9" style="4" customWidth="1"/>
    <col min="5131" max="5131" width="2.453125" style="4" customWidth="1"/>
    <col min="5132" max="5134" width="9" style="4" customWidth="1"/>
    <col min="5135" max="5135" width="9.81640625" style="4" customWidth="1"/>
    <col min="5136" max="5136" width="2.26953125" style="4" customWidth="1"/>
    <col min="5137" max="5138" width="9" style="4" customWidth="1"/>
    <col min="5139" max="5139" width="2.1796875" style="4" customWidth="1"/>
    <col min="5140" max="5141" width="9" style="4" customWidth="1"/>
    <col min="5142" max="5142" width="2.1796875" style="4" customWidth="1"/>
    <col min="5143" max="5144" width="10.1796875" style="4" customWidth="1"/>
    <col min="5145" max="5146" width="10.81640625" style="4" customWidth="1"/>
    <col min="5147" max="5147" width="31.7265625" style="4" customWidth="1"/>
    <col min="5148" max="5148" width="10.453125" style="4" bestFit="1" customWidth="1"/>
    <col min="5149" max="5378" width="9.1796875" style="4"/>
    <col min="5379" max="5379" width="5.54296875" style="4" bestFit="1" customWidth="1"/>
    <col min="5380" max="5380" width="45.81640625" style="4" customWidth="1"/>
    <col min="5381" max="5381" width="15.26953125" style="4" customWidth="1"/>
    <col min="5382" max="5382" width="9.81640625" style="4" customWidth="1"/>
    <col min="5383" max="5383" width="8.7265625" style="4" customWidth="1"/>
    <col min="5384" max="5384" width="2.1796875" style="4" customWidth="1"/>
    <col min="5385" max="5386" width="9" style="4" customWidth="1"/>
    <col min="5387" max="5387" width="2.453125" style="4" customWidth="1"/>
    <col min="5388" max="5390" width="9" style="4" customWidth="1"/>
    <col min="5391" max="5391" width="9.81640625" style="4" customWidth="1"/>
    <col min="5392" max="5392" width="2.26953125" style="4" customWidth="1"/>
    <col min="5393" max="5394" width="9" style="4" customWidth="1"/>
    <col min="5395" max="5395" width="2.1796875" style="4" customWidth="1"/>
    <col min="5396" max="5397" width="9" style="4" customWidth="1"/>
    <col min="5398" max="5398" width="2.1796875" style="4" customWidth="1"/>
    <col min="5399" max="5400" width="10.1796875" style="4" customWidth="1"/>
    <col min="5401" max="5402" width="10.81640625" style="4" customWidth="1"/>
    <col min="5403" max="5403" width="31.7265625" style="4" customWidth="1"/>
    <col min="5404" max="5404" width="10.453125" style="4" bestFit="1" customWidth="1"/>
    <col min="5405" max="5634" width="9.1796875" style="4"/>
    <col min="5635" max="5635" width="5.54296875" style="4" bestFit="1" customWidth="1"/>
    <col min="5636" max="5636" width="45.81640625" style="4" customWidth="1"/>
    <col min="5637" max="5637" width="15.26953125" style="4" customWidth="1"/>
    <col min="5638" max="5638" width="9.81640625" style="4" customWidth="1"/>
    <col min="5639" max="5639" width="8.7265625" style="4" customWidth="1"/>
    <col min="5640" max="5640" width="2.1796875" style="4" customWidth="1"/>
    <col min="5641" max="5642" width="9" style="4" customWidth="1"/>
    <col min="5643" max="5643" width="2.453125" style="4" customWidth="1"/>
    <col min="5644" max="5646" width="9" style="4" customWidth="1"/>
    <col min="5647" max="5647" width="9.81640625" style="4" customWidth="1"/>
    <col min="5648" max="5648" width="2.26953125" style="4" customWidth="1"/>
    <col min="5649" max="5650" width="9" style="4" customWidth="1"/>
    <col min="5651" max="5651" width="2.1796875" style="4" customWidth="1"/>
    <col min="5652" max="5653" width="9" style="4" customWidth="1"/>
    <col min="5654" max="5654" width="2.1796875" style="4" customWidth="1"/>
    <col min="5655" max="5656" width="10.1796875" style="4" customWidth="1"/>
    <col min="5657" max="5658" width="10.81640625" style="4" customWidth="1"/>
    <col min="5659" max="5659" width="31.7265625" style="4" customWidth="1"/>
    <col min="5660" max="5660" width="10.453125" style="4" bestFit="1" customWidth="1"/>
    <col min="5661" max="5890" width="9.1796875" style="4"/>
    <col min="5891" max="5891" width="5.54296875" style="4" bestFit="1" customWidth="1"/>
    <col min="5892" max="5892" width="45.81640625" style="4" customWidth="1"/>
    <col min="5893" max="5893" width="15.26953125" style="4" customWidth="1"/>
    <col min="5894" max="5894" width="9.81640625" style="4" customWidth="1"/>
    <col min="5895" max="5895" width="8.7265625" style="4" customWidth="1"/>
    <col min="5896" max="5896" width="2.1796875" style="4" customWidth="1"/>
    <col min="5897" max="5898" width="9" style="4" customWidth="1"/>
    <col min="5899" max="5899" width="2.453125" style="4" customWidth="1"/>
    <col min="5900" max="5902" width="9" style="4" customWidth="1"/>
    <col min="5903" max="5903" width="9.81640625" style="4" customWidth="1"/>
    <col min="5904" max="5904" width="2.26953125" style="4" customWidth="1"/>
    <col min="5905" max="5906" width="9" style="4" customWidth="1"/>
    <col min="5907" max="5907" width="2.1796875" style="4" customWidth="1"/>
    <col min="5908" max="5909" width="9" style="4" customWidth="1"/>
    <col min="5910" max="5910" width="2.1796875" style="4" customWidth="1"/>
    <col min="5911" max="5912" width="10.1796875" style="4" customWidth="1"/>
    <col min="5913" max="5914" width="10.81640625" style="4" customWidth="1"/>
    <col min="5915" max="5915" width="31.7265625" style="4" customWidth="1"/>
    <col min="5916" max="5916" width="10.453125" style="4" bestFit="1" customWidth="1"/>
    <col min="5917" max="6146" width="9.1796875" style="4"/>
    <col min="6147" max="6147" width="5.54296875" style="4" bestFit="1" customWidth="1"/>
    <col min="6148" max="6148" width="45.81640625" style="4" customWidth="1"/>
    <col min="6149" max="6149" width="15.26953125" style="4" customWidth="1"/>
    <col min="6150" max="6150" width="9.81640625" style="4" customWidth="1"/>
    <col min="6151" max="6151" width="8.7265625" style="4" customWidth="1"/>
    <col min="6152" max="6152" width="2.1796875" style="4" customWidth="1"/>
    <col min="6153" max="6154" width="9" style="4" customWidth="1"/>
    <col min="6155" max="6155" width="2.453125" style="4" customWidth="1"/>
    <col min="6156" max="6158" width="9" style="4" customWidth="1"/>
    <col min="6159" max="6159" width="9.81640625" style="4" customWidth="1"/>
    <col min="6160" max="6160" width="2.26953125" style="4" customWidth="1"/>
    <col min="6161" max="6162" width="9" style="4" customWidth="1"/>
    <col min="6163" max="6163" width="2.1796875" style="4" customWidth="1"/>
    <col min="6164" max="6165" width="9" style="4" customWidth="1"/>
    <col min="6166" max="6166" width="2.1796875" style="4" customWidth="1"/>
    <col min="6167" max="6168" width="10.1796875" style="4" customWidth="1"/>
    <col min="6169" max="6170" width="10.81640625" style="4" customWidth="1"/>
    <col min="6171" max="6171" width="31.7265625" style="4" customWidth="1"/>
    <col min="6172" max="6172" width="10.453125" style="4" bestFit="1" customWidth="1"/>
    <col min="6173" max="6402" width="9.1796875" style="4"/>
    <col min="6403" max="6403" width="5.54296875" style="4" bestFit="1" customWidth="1"/>
    <col min="6404" max="6404" width="45.81640625" style="4" customWidth="1"/>
    <col min="6405" max="6405" width="15.26953125" style="4" customWidth="1"/>
    <col min="6406" max="6406" width="9.81640625" style="4" customWidth="1"/>
    <col min="6407" max="6407" width="8.7265625" style="4" customWidth="1"/>
    <col min="6408" max="6408" width="2.1796875" style="4" customWidth="1"/>
    <col min="6409" max="6410" width="9" style="4" customWidth="1"/>
    <col min="6411" max="6411" width="2.453125" style="4" customWidth="1"/>
    <col min="6412" max="6414" width="9" style="4" customWidth="1"/>
    <col min="6415" max="6415" width="9.81640625" style="4" customWidth="1"/>
    <col min="6416" max="6416" width="2.26953125" style="4" customWidth="1"/>
    <col min="6417" max="6418" width="9" style="4" customWidth="1"/>
    <col min="6419" max="6419" width="2.1796875" style="4" customWidth="1"/>
    <col min="6420" max="6421" width="9" style="4" customWidth="1"/>
    <col min="6422" max="6422" width="2.1796875" style="4" customWidth="1"/>
    <col min="6423" max="6424" width="10.1796875" style="4" customWidth="1"/>
    <col min="6425" max="6426" width="10.81640625" style="4" customWidth="1"/>
    <col min="6427" max="6427" width="31.7265625" style="4" customWidth="1"/>
    <col min="6428" max="6428" width="10.453125" style="4" bestFit="1" customWidth="1"/>
    <col min="6429" max="6658" width="9.1796875" style="4"/>
    <col min="6659" max="6659" width="5.54296875" style="4" bestFit="1" customWidth="1"/>
    <col min="6660" max="6660" width="45.81640625" style="4" customWidth="1"/>
    <col min="6661" max="6661" width="15.26953125" style="4" customWidth="1"/>
    <col min="6662" max="6662" width="9.81640625" style="4" customWidth="1"/>
    <col min="6663" max="6663" width="8.7265625" style="4" customWidth="1"/>
    <col min="6664" max="6664" width="2.1796875" style="4" customWidth="1"/>
    <col min="6665" max="6666" width="9" style="4" customWidth="1"/>
    <col min="6667" max="6667" width="2.453125" style="4" customWidth="1"/>
    <col min="6668" max="6670" width="9" style="4" customWidth="1"/>
    <col min="6671" max="6671" width="9.81640625" style="4" customWidth="1"/>
    <col min="6672" max="6672" width="2.26953125" style="4" customWidth="1"/>
    <col min="6673" max="6674" width="9" style="4" customWidth="1"/>
    <col min="6675" max="6675" width="2.1796875" style="4" customWidth="1"/>
    <col min="6676" max="6677" width="9" style="4" customWidth="1"/>
    <col min="6678" max="6678" width="2.1796875" style="4" customWidth="1"/>
    <col min="6679" max="6680" width="10.1796875" style="4" customWidth="1"/>
    <col min="6681" max="6682" width="10.81640625" style="4" customWidth="1"/>
    <col min="6683" max="6683" width="31.7265625" style="4" customWidth="1"/>
    <col min="6684" max="6684" width="10.453125" style="4" bestFit="1" customWidth="1"/>
    <col min="6685" max="6914" width="9.1796875" style="4"/>
    <col min="6915" max="6915" width="5.54296875" style="4" bestFit="1" customWidth="1"/>
    <col min="6916" max="6916" width="45.81640625" style="4" customWidth="1"/>
    <col min="6917" max="6917" width="15.26953125" style="4" customWidth="1"/>
    <col min="6918" max="6918" width="9.81640625" style="4" customWidth="1"/>
    <col min="6919" max="6919" width="8.7265625" style="4" customWidth="1"/>
    <col min="6920" max="6920" width="2.1796875" style="4" customWidth="1"/>
    <col min="6921" max="6922" width="9" style="4" customWidth="1"/>
    <col min="6923" max="6923" width="2.453125" style="4" customWidth="1"/>
    <col min="6924" max="6926" width="9" style="4" customWidth="1"/>
    <col min="6927" max="6927" width="9.81640625" style="4" customWidth="1"/>
    <col min="6928" max="6928" width="2.26953125" style="4" customWidth="1"/>
    <col min="6929" max="6930" width="9" style="4" customWidth="1"/>
    <col min="6931" max="6931" width="2.1796875" style="4" customWidth="1"/>
    <col min="6932" max="6933" width="9" style="4" customWidth="1"/>
    <col min="6934" max="6934" width="2.1796875" style="4" customWidth="1"/>
    <col min="6935" max="6936" width="10.1796875" style="4" customWidth="1"/>
    <col min="6937" max="6938" width="10.81640625" style="4" customWidth="1"/>
    <col min="6939" max="6939" width="31.7265625" style="4" customWidth="1"/>
    <col min="6940" max="6940" width="10.453125" style="4" bestFit="1" customWidth="1"/>
    <col min="6941" max="7170" width="9.1796875" style="4"/>
    <col min="7171" max="7171" width="5.54296875" style="4" bestFit="1" customWidth="1"/>
    <col min="7172" max="7172" width="45.81640625" style="4" customWidth="1"/>
    <col min="7173" max="7173" width="15.26953125" style="4" customWidth="1"/>
    <col min="7174" max="7174" width="9.81640625" style="4" customWidth="1"/>
    <col min="7175" max="7175" width="8.7265625" style="4" customWidth="1"/>
    <col min="7176" max="7176" width="2.1796875" style="4" customWidth="1"/>
    <col min="7177" max="7178" width="9" style="4" customWidth="1"/>
    <col min="7179" max="7179" width="2.453125" style="4" customWidth="1"/>
    <col min="7180" max="7182" width="9" style="4" customWidth="1"/>
    <col min="7183" max="7183" width="9.81640625" style="4" customWidth="1"/>
    <col min="7184" max="7184" width="2.26953125" style="4" customWidth="1"/>
    <col min="7185" max="7186" width="9" style="4" customWidth="1"/>
    <col min="7187" max="7187" width="2.1796875" style="4" customWidth="1"/>
    <col min="7188" max="7189" width="9" style="4" customWidth="1"/>
    <col min="7190" max="7190" width="2.1796875" style="4" customWidth="1"/>
    <col min="7191" max="7192" width="10.1796875" style="4" customWidth="1"/>
    <col min="7193" max="7194" width="10.81640625" style="4" customWidth="1"/>
    <col min="7195" max="7195" width="31.7265625" style="4" customWidth="1"/>
    <col min="7196" max="7196" width="10.453125" style="4" bestFit="1" customWidth="1"/>
    <col min="7197" max="7426" width="9.1796875" style="4"/>
    <col min="7427" max="7427" width="5.54296875" style="4" bestFit="1" customWidth="1"/>
    <col min="7428" max="7428" width="45.81640625" style="4" customWidth="1"/>
    <col min="7429" max="7429" width="15.26953125" style="4" customWidth="1"/>
    <col min="7430" max="7430" width="9.81640625" style="4" customWidth="1"/>
    <col min="7431" max="7431" width="8.7265625" style="4" customWidth="1"/>
    <col min="7432" max="7432" width="2.1796875" style="4" customWidth="1"/>
    <col min="7433" max="7434" width="9" style="4" customWidth="1"/>
    <col min="7435" max="7435" width="2.453125" style="4" customWidth="1"/>
    <col min="7436" max="7438" width="9" style="4" customWidth="1"/>
    <col min="7439" max="7439" width="9.81640625" style="4" customWidth="1"/>
    <col min="7440" max="7440" width="2.26953125" style="4" customWidth="1"/>
    <col min="7441" max="7442" width="9" style="4" customWidth="1"/>
    <col min="7443" max="7443" width="2.1796875" style="4" customWidth="1"/>
    <col min="7444" max="7445" width="9" style="4" customWidth="1"/>
    <col min="7446" max="7446" width="2.1796875" style="4" customWidth="1"/>
    <col min="7447" max="7448" width="10.1796875" style="4" customWidth="1"/>
    <col min="7449" max="7450" width="10.81640625" style="4" customWidth="1"/>
    <col min="7451" max="7451" width="31.7265625" style="4" customWidth="1"/>
    <col min="7452" max="7452" width="10.453125" style="4" bestFit="1" customWidth="1"/>
    <col min="7453" max="7682" width="9.1796875" style="4"/>
    <col min="7683" max="7683" width="5.54296875" style="4" bestFit="1" customWidth="1"/>
    <col min="7684" max="7684" width="45.81640625" style="4" customWidth="1"/>
    <col min="7685" max="7685" width="15.26953125" style="4" customWidth="1"/>
    <col min="7686" max="7686" width="9.81640625" style="4" customWidth="1"/>
    <col min="7687" max="7687" width="8.7265625" style="4" customWidth="1"/>
    <col min="7688" max="7688" width="2.1796875" style="4" customWidth="1"/>
    <col min="7689" max="7690" width="9" style="4" customWidth="1"/>
    <col min="7691" max="7691" width="2.453125" style="4" customWidth="1"/>
    <col min="7692" max="7694" width="9" style="4" customWidth="1"/>
    <col min="7695" max="7695" width="9.81640625" style="4" customWidth="1"/>
    <col min="7696" max="7696" width="2.26953125" style="4" customWidth="1"/>
    <col min="7697" max="7698" width="9" style="4" customWidth="1"/>
    <col min="7699" max="7699" width="2.1796875" style="4" customWidth="1"/>
    <col min="7700" max="7701" width="9" style="4" customWidth="1"/>
    <col min="7702" max="7702" width="2.1796875" style="4" customWidth="1"/>
    <col min="7703" max="7704" width="10.1796875" style="4" customWidth="1"/>
    <col min="7705" max="7706" width="10.81640625" style="4" customWidth="1"/>
    <col min="7707" max="7707" width="31.7265625" style="4" customWidth="1"/>
    <col min="7708" max="7708" width="10.453125" style="4" bestFit="1" customWidth="1"/>
    <col min="7709" max="7938" width="9.1796875" style="4"/>
    <col min="7939" max="7939" width="5.54296875" style="4" bestFit="1" customWidth="1"/>
    <col min="7940" max="7940" width="45.81640625" style="4" customWidth="1"/>
    <col min="7941" max="7941" width="15.26953125" style="4" customWidth="1"/>
    <col min="7942" max="7942" width="9.81640625" style="4" customWidth="1"/>
    <col min="7943" max="7943" width="8.7265625" style="4" customWidth="1"/>
    <col min="7944" max="7944" width="2.1796875" style="4" customWidth="1"/>
    <col min="7945" max="7946" width="9" style="4" customWidth="1"/>
    <col min="7947" max="7947" width="2.453125" style="4" customWidth="1"/>
    <col min="7948" max="7950" width="9" style="4" customWidth="1"/>
    <col min="7951" max="7951" width="9.81640625" style="4" customWidth="1"/>
    <col min="7952" max="7952" width="2.26953125" style="4" customWidth="1"/>
    <col min="7953" max="7954" width="9" style="4" customWidth="1"/>
    <col min="7955" max="7955" width="2.1796875" style="4" customWidth="1"/>
    <col min="7956" max="7957" width="9" style="4" customWidth="1"/>
    <col min="7958" max="7958" width="2.1796875" style="4" customWidth="1"/>
    <col min="7959" max="7960" width="10.1796875" style="4" customWidth="1"/>
    <col min="7961" max="7962" width="10.81640625" style="4" customWidth="1"/>
    <col min="7963" max="7963" width="31.7265625" style="4" customWidth="1"/>
    <col min="7964" max="7964" width="10.453125" style="4" bestFit="1" customWidth="1"/>
    <col min="7965" max="8194" width="9.1796875" style="4"/>
    <col min="8195" max="8195" width="5.54296875" style="4" bestFit="1" customWidth="1"/>
    <col min="8196" max="8196" width="45.81640625" style="4" customWidth="1"/>
    <col min="8197" max="8197" width="15.26953125" style="4" customWidth="1"/>
    <col min="8198" max="8198" width="9.81640625" style="4" customWidth="1"/>
    <col min="8199" max="8199" width="8.7265625" style="4" customWidth="1"/>
    <col min="8200" max="8200" width="2.1796875" style="4" customWidth="1"/>
    <col min="8201" max="8202" width="9" style="4" customWidth="1"/>
    <col min="8203" max="8203" width="2.453125" style="4" customWidth="1"/>
    <col min="8204" max="8206" width="9" style="4" customWidth="1"/>
    <col min="8207" max="8207" width="9.81640625" style="4" customWidth="1"/>
    <col min="8208" max="8208" width="2.26953125" style="4" customWidth="1"/>
    <col min="8209" max="8210" width="9" style="4" customWidth="1"/>
    <col min="8211" max="8211" width="2.1796875" style="4" customWidth="1"/>
    <col min="8212" max="8213" width="9" style="4" customWidth="1"/>
    <col min="8214" max="8214" width="2.1796875" style="4" customWidth="1"/>
    <col min="8215" max="8216" width="10.1796875" style="4" customWidth="1"/>
    <col min="8217" max="8218" width="10.81640625" style="4" customWidth="1"/>
    <col min="8219" max="8219" width="31.7265625" style="4" customWidth="1"/>
    <col min="8220" max="8220" width="10.453125" style="4" bestFit="1" customWidth="1"/>
    <col min="8221" max="8450" width="9.1796875" style="4"/>
    <col min="8451" max="8451" width="5.54296875" style="4" bestFit="1" customWidth="1"/>
    <col min="8452" max="8452" width="45.81640625" style="4" customWidth="1"/>
    <col min="8453" max="8453" width="15.26953125" style="4" customWidth="1"/>
    <col min="8454" max="8454" width="9.81640625" style="4" customWidth="1"/>
    <col min="8455" max="8455" width="8.7265625" style="4" customWidth="1"/>
    <col min="8456" max="8456" width="2.1796875" style="4" customWidth="1"/>
    <col min="8457" max="8458" width="9" style="4" customWidth="1"/>
    <col min="8459" max="8459" width="2.453125" style="4" customWidth="1"/>
    <col min="8460" max="8462" width="9" style="4" customWidth="1"/>
    <col min="8463" max="8463" width="9.81640625" style="4" customWidth="1"/>
    <col min="8464" max="8464" width="2.26953125" style="4" customWidth="1"/>
    <col min="8465" max="8466" width="9" style="4" customWidth="1"/>
    <col min="8467" max="8467" width="2.1796875" style="4" customWidth="1"/>
    <col min="8468" max="8469" width="9" style="4" customWidth="1"/>
    <col min="8470" max="8470" width="2.1796875" style="4" customWidth="1"/>
    <col min="8471" max="8472" width="10.1796875" style="4" customWidth="1"/>
    <col min="8473" max="8474" width="10.81640625" style="4" customWidth="1"/>
    <col min="8475" max="8475" width="31.7265625" style="4" customWidth="1"/>
    <col min="8476" max="8476" width="10.453125" style="4" bestFit="1" customWidth="1"/>
    <col min="8477" max="8706" width="9.1796875" style="4"/>
    <col min="8707" max="8707" width="5.54296875" style="4" bestFit="1" customWidth="1"/>
    <col min="8708" max="8708" width="45.81640625" style="4" customWidth="1"/>
    <col min="8709" max="8709" width="15.26953125" style="4" customWidth="1"/>
    <col min="8710" max="8710" width="9.81640625" style="4" customWidth="1"/>
    <col min="8711" max="8711" width="8.7265625" style="4" customWidth="1"/>
    <col min="8712" max="8712" width="2.1796875" style="4" customWidth="1"/>
    <col min="8713" max="8714" width="9" style="4" customWidth="1"/>
    <col min="8715" max="8715" width="2.453125" style="4" customWidth="1"/>
    <col min="8716" max="8718" width="9" style="4" customWidth="1"/>
    <col min="8719" max="8719" width="9.81640625" style="4" customWidth="1"/>
    <col min="8720" max="8720" width="2.26953125" style="4" customWidth="1"/>
    <col min="8721" max="8722" width="9" style="4" customWidth="1"/>
    <col min="8723" max="8723" width="2.1796875" style="4" customWidth="1"/>
    <col min="8724" max="8725" width="9" style="4" customWidth="1"/>
    <col min="8726" max="8726" width="2.1796875" style="4" customWidth="1"/>
    <col min="8727" max="8728" width="10.1796875" style="4" customWidth="1"/>
    <col min="8729" max="8730" width="10.81640625" style="4" customWidth="1"/>
    <col min="8731" max="8731" width="31.7265625" style="4" customWidth="1"/>
    <col min="8732" max="8732" width="10.453125" style="4" bestFit="1" customWidth="1"/>
    <col min="8733" max="8962" width="9.1796875" style="4"/>
    <col min="8963" max="8963" width="5.54296875" style="4" bestFit="1" customWidth="1"/>
    <col min="8964" max="8964" width="45.81640625" style="4" customWidth="1"/>
    <col min="8965" max="8965" width="15.26953125" style="4" customWidth="1"/>
    <col min="8966" max="8966" width="9.81640625" style="4" customWidth="1"/>
    <col min="8967" max="8967" width="8.7265625" style="4" customWidth="1"/>
    <col min="8968" max="8968" width="2.1796875" style="4" customWidth="1"/>
    <col min="8969" max="8970" width="9" style="4" customWidth="1"/>
    <col min="8971" max="8971" width="2.453125" style="4" customWidth="1"/>
    <col min="8972" max="8974" width="9" style="4" customWidth="1"/>
    <col min="8975" max="8975" width="9.81640625" style="4" customWidth="1"/>
    <col min="8976" max="8976" width="2.26953125" style="4" customWidth="1"/>
    <col min="8977" max="8978" width="9" style="4" customWidth="1"/>
    <col min="8979" max="8979" width="2.1796875" style="4" customWidth="1"/>
    <col min="8980" max="8981" width="9" style="4" customWidth="1"/>
    <col min="8982" max="8982" width="2.1796875" style="4" customWidth="1"/>
    <col min="8983" max="8984" width="10.1796875" style="4" customWidth="1"/>
    <col min="8985" max="8986" width="10.81640625" style="4" customWidth="1"/>
    <col min="8987" max="8987" width="31.7265625" style="4" customWidth="1"/>
    <col min="8988" max="8988" width="10.453125" style="4" bestFit="1" customWidth="1"/>
    <col min="8989" max="9218" width="9.1796875" style="4"/>
    <col min="9219" max="9219" width="5.54296875" style="4" bestFit="1" customWidth="1"/>
    <col min="9220" max="9220" width="45.81640625" style="4" customWidth="1"/>
    <col min="9221" max="9221" width="15.26953125" style="4" customWidth="1"/>
    <col min="9222" max="9222" width="9.81640625" style="4" customWidth="1"/>
    <col min="9223" max="9223" width="8.7265625" style="4" customWidth="1"/>
    <col min="9224" max="9224" width="2.1796875" style="4" customWidth="1"/>
    <col min="9225" max="9226" width="9" style="4" customWidth="1"/>
    <col min="9227" max="9227" width="2.453125" style="4" customWidth="1"/>
    <col min="9228" max="9230" width="9" style="4" customWidth="1"/>
    <col min="9231" max="9231" width="9.81640625" style="4" customWidth="1"/>
    <col min="9232" max="9232" width="2.26953125" style="4" customWidth="1"/>
    <col min="9233" max="9234" width="9" style="4" customWidth="1"/>
    <col min="9235" max="9235" width="2.1796875" style="4" customWidth="1"/>
    <col min="9236" max="9237" width="9" style="4" customWidth="1"/>
    <col min="9238" max="9238" width="2.1796875" style="4" customWidth="1"/>
    <col min="9239" max="9240" width="10.1796875" style="4" customWidth="1"/>
    <col min="9241" max="9242" width="10.81640625" style="4" customWidth="1"/>
    <col min="9243" max="9243" width="31.7265625" style="4" customWidth="1"/>
    <col min="9244" max="9244" width="10.453125" style="4" bestFit="1" customWidth="1"/>
    <col min="9245" max="9474" width="9.1796875" style="4"/>
    <col min="9475" max="9475" width="5.54296875" style="4" bestFit="1" customWidth="1"/>
    <col min="9476" max="9476" width="45.81640625" style="4" customWidth="1"/>
    <col min="9477" max="9477" width="15.26953125" style="4" customWidth="1"/>
    <col min="9478" max="9478" width="9.81640625" style="4" customWidth="1"/>
    <col min="9479" max="9479" width="8.7265625" style="4" customWidth="1"/>
    <col min="9480" max="9480" width="2.1796875" style="4" customWidth="1"/>
    <col min="9481" max="9482" width="9" style="4" customWidth="1"/>
    <col min="9483" max="9483" width="2.453125" style="4" customWidth="1"/>
    <col min="9484" max="9486" width="9" style="4" customWidth="1"/>
    <col min="9487" max="9487" width="9.81640625" style="4" customWidth="1"/>
    <col min="9488" max="9488" width="2.26953125" style="4" customWidth="1"/>
    <col min="9489" max="9490" width="9" style="4" customWidth="1"/>
    <col min="9491" max="9491" width="2.1796875" style="4" customWidth="1"/>
    <col min="9492" max="9493" width="9" style="4" customWidth="1"/>
    <col min="9494" max="9494" width="2.1796875" style="4" customWidth="1"/>
    <col min="9495" max="9496" width="10.1796875" style="4" customWidth="1"/>
    <col min="9497" max="9498" width="10.81640625" style="4" customWidth="1"/>
    <col min="9499" max="9499" width="31.7265625" style="4" customWidth="1"/>
    <col min="9500" max="9500" width="10.453125" style="4" bestFit="1" customWidth="1"/>
    <col min="9501" max="9730" width="9.1796875" style="4"/>
    <col min="9731" max="9731" width="5.54296875" style="4" bestFit="1" customWidth="1"/>
    <col min="9732" max="9732" width="45.81640625" style="4" customWidth="1"/>
    <col min="9733" max="9733" width="15.26953125" style="4" customWidth="1"/>
    <col min="9734" max="9734" width="9.81640625" style="4" customWidth="1"/>
    <col min="9735" max="9735" width="8.7265625" style="4" customWidth="1"/>
    <col min="9736" max="9736" width="2.1796875" style="4" customWidth="1"/>
    <col min="9737" max="9738" width="9" style="4" customWidth="1"/>
    <col min="9739" max="9739" width="2.453125" style="4" customWidth="1"/>
    <col min="9740" max="9742" width="9" style="4" customWidth="1"/>
    <col min="9743" max="9743" width="9.81640625" style="4" customWidth="1"/>
    <col min="9744" max="9744" width="2.26953125" style="4" customWidth="1"/>
    <col min="9745" max="9746" width="9" style="4" customWidth="1"/>
    <col min="9747" max="9747" width="2.1796875" style="4" customWidth="1"/>
    <col min="9748" max="9749" width="9" style="4" customWidth="1"/>
    <col min="9750" max="9750" width="2.1796875" style="4" customWidth="1"/>
    <col min="9751" max="9752" width="10.1796875" style="4" customWidth="1"/>
    <col min="9753" max="9754" width="10.81640625" style="4" customWidth="1"/>
    <col min="9755" max="9755" width="31.7265625" style="4" customWidth="1"/>
    <col min="9756" max="9756" width="10.453125" style="4" bestFit="1" customWidth="1"/>
    <col min="9757" max="9986" width="9.1796875" style="4"/>
    <col min="9987" max="9987" width="5.54296875" style="4" bestFit="1" customWidth="1"/>
    <col min="9988" max="9988" width="45.81640625" style="4" customWidth="1"/>
    <col min="9989" max="9989" width="15.26953125" style="4" customWidth="1"/>
    <col min="9990" max="9990" width="9.81640625" style="4" customWidth="1"/>
    <col min="9991" max="9991" width="8.7265625" style="4" customWidth="1"/>
    <col min="9992" max="9992" width="2.1796875" style="4" customWidth="1"/>
    <col min="9993" max="9994" width="9" style="4" customWidth="1"/>
    <col min="9995" max="9995" width="2.453125" style="4" customWidth="1"/>
    <col min="9996" max="9998" width="9" style="4" customWidth="1"/>
    <col min="9999" max="9999" width="9.81640625" style="4" customWidth="1"/>
    <col min="10000" max="10000" width="2.26953125" style="4" customWidth="1"/>
    <col min="10001" max="10002" width="9" style="4" customWidth="1"/>
    <col min="10003" max="10003" width="2.1796875" style="4" customWidth="1"/>
    <col min="10004" max="10005" width="9" style="4" customWidth="1"/>
    <col min="10006" max="10006" width="2.1796875" style="4" customWidth="1"/>
    <col min="10007" max="10008" width="10.1796875" style="4" customWidth="1"/>
    <col min="10009" max="10010" width="10.81640625" style="4" customWidth="1"/>
    <col min="10011" max="10011" width="31.7265625" style="4" customWidth="1"/>
    <col min="10012" max="10012" width="10.453125" style="4" bestFit="1" customWidth="1"/>
    <col min="10013" max="10242" width="9.1796875" style="4"/>
    <col min="10243" max="10243" width="5.54296875" style="4" bestFit="1" customWidth="1"/>
    <col min="10244" max="10244" width="45.81640625" style="4" customWidth="1"/>
    <col min="10245" max="10245" width="15.26953125" style="4" customWidth="1"/>
    <col min="10246" max="10246" width="9.81640625" style="4" customWidth="1"/>
    <col min="10247" max="10247" width="8.7265625" style="4" customWidth="1"/>
    <col min="10248" max="10248" width="2.1796875" style="4" customWidth="1"/>
    <col min="10249" max="10250" width="9" style="4" customWidth="1"/>
    <col min="10251" max="10251" width="2.453125" style="4" customWidth="1"/>
    <col min="10252" max="10254" width="9" style="4" customWidth="1"/>
    <col min="10255" max="10255" width="9.81640625" style="4" customWidth="1"/>
    <col min="10256" max="10256" width="2.26953125" style="4" customWidth="1"/>
    <col min="10257" max="10258" width="9" style="4" customWidth="1"/>
    <col min="10259" max="10259" width="2.1796875" style="4" customWidth="1"/>
    <col min="10260" max="10261" width="9" style="4" customWidth="1"/>
    <col min="10262" max="10262" width="2.1796875" style="4" customWidth="1"/>
    <col min="10263" max="10264" width="10.1796875" style="4" customWidth="1"/>
    <col min="10265" max="10266" width="10.81640625" style="4" customWidth="1"/>
    <col min="10267" max="10267" width="31.7265625" style="4" customWidth="1"/>
    <col min="10268" max="10268" width="10.453125" style="4" bestFit="1" customWidth="1"/>
    <col min="10269" max="10498" width="9.1796875" style="4"/>
    <col min="10499" max="10499" width="5.54296875" style="4" bestFit="1" customWidth="1"/>
    <col min="10500" max="10500" width="45.81640625" style="4" customWidth="1"/>
    <col min="10501" max="10501" width="15.26953125" style="4" customWidth="1"/>
    <col min="10502" max="10502" width="9.81640625" style="4" customWidth="1"/>
    <col min="10503" max="10503" width="8.7265625" style="4" customWidth="1"/>
    <col min="10504" max="10504" width="2.1796875" style="4" customWidth="1"/>
    <col min="10505" max="10506" width="9" style="4" customWidth="1"/>
    <col min="10507" max="10507" width="2.453125" style="4" customWidth="1"/>
    <col min="10508" max="10510" width="9" style="4" customWidth="1"/>
    <col min="10511" max="10511" width="9.81640625" style="4" customWidth="1"/>
    <col min="10512" max="10512" width="2.26953125" style="4" customWidth="1"/>
    <col min="10513" max="10514" width="9" style="4" customWidth="1"/>
    <col min="10515" max="10515" width="2.1796875" style="4" customWidth="1"/>
    <col min="10516" max="10517" width="9" style="4" customWidth="1"/>
    <col min="10518" max="10518" width="2.1796875" style="4" customWidth="1"/>
    <col min="10519" max="10520" width="10.1796875" style="4" customWidth="1"/>
    <col min="10521" max="10522" width="10.81640625" style="4" customWidth="1"/>
    <col min="10523" max="10523" width="31.7265625" style="4" customWidth="1"/>
    <col min="10524" max="10524" width="10.453125" style="4" bestFit="1" customWidth="1"/>
    <col min="10525" max="10754" width="9.1796875" style="4"/>
    <col min="10755" max="10755" width="5.54296875" style="4" bestFit="1" customWidth="1"/>
    <col min="10756" max="10756" width="45.81640625" style="4" customWidth="1"/>
    <col min="10757" max="10757" width="15.26953125" style="4" customWidth="1"/>
    <col min="10758" max="10758" width="9.81640625" style="4" customWidth="1"/>
    <col min="10759" max="10759" width="8.7265625" style="4" customWidth="1"/>
    <col min="10760" max="10760" width="2.1796875" style="4" customWidth="1"/>
    <col min="10761" max="10762" width="9" style="4" customWidth="1"/>
    <col min="10763" max="10763" width="2.453125" style="4" customWidth="1"/>
    <col min="10764" max="10766" width="9" style="4" customWidth="1"/>
    <col min="10767" max="10767" width="9.81640625" style="4" customWidth="1"/>
    <col min="10768" max="10768" width="2.26953125" style="4" customWidth="1"/>
    <col min="10769" max="10770" width="9" style="4" customWidth="1"/>
    <col min="10771" max="10771" width="2.1796875" style="4" customWidth="1"/>
    <col min="10772" max="10773" width="9" style="4" customWidth="1"/>
    <col min="10774" max="10774" width="2.1796875" style="4" customWidth="1"/>
    <col min="10775" max="10776" width="10.1796875" style="4" customWidth="1"/>
    <col min="10777" max="10778" width="10.81640625" style="4" customWidth="1"/>
    <col min="10779" max="10779" width="31.7265625" style="4" customWidth="1"/>
    <col min="10780" max="10780" width="10.453125" style="4" bestFit="1" customWidth="1"/>
    <col min="10781" max="11010" width="9.1796875" style="4"/>
    <col min="11011" max="11011" width="5.54296875" style="4" bestFit="1" customWidth="1"/>
    <col min="11012" max="11012" width="45.81640625" style="4" customWidth="1"/>
    <col min="11013" max="11013" width="15.26953125" style="4" customWidth="1"/>
    <col min="11014" max="11014" width="9.81640625" style="4" customWidth="1"/>
    <col min="11015" max="11015" width="8.7265625" style="4" customWidth="1"/>
    <col min="11016" max="11016" width="2.1796875" style="4" customWidth="1"/>
    <col min="11017" max="11018" width="9" style="4" customWidth="1"/>
    <col min="11019" max="11019" width="2.453125" style="4" customWidth="1"/>
    <col min="11020" max="11022" width="9" style="4" customWidth="1"/>
    <col min="11023" max="11023" width="9.81640625" style="4" customWidth="1"/>
    <col min="11024" max="11024" width="2.26953125" style="4" customWidth="1"/>
    <col min="11025" max="11026" width="9" style="4" customWidth="1"/>
    <col min="11027" max="11027" width="2.1796875" style="4" customWidth="1"/>
    <col min="11028" max="11029" width="9" style="4" customWidth="1"/>
    <col min="11030" max="11030" width="2.1796875" style="4" customWidth="1"/>
    <col min="11031" max="11032" width="10.1796875" style="4" customWidth="1"/>
    <col min="11033" max="11034" width="10.81640625" style="4" customWidth="1"/>
    <col min="11035" max="11035" width="31.7265625" style="4" customWidth="1"/>
    <col min="11036" max="11036" width="10.453125" style="4" bestFit="1" customWidth="1"/>
    <col min="11037" max="11266" width="9.1796875" style="4"/>
    <col min="11267" max="11267" width="5.54296875" style="4" bestFit="1" customWidth="1"/>
    <col min="11268" max="11268" width="45.81640625" style="4" customWidth="1"/>
    <col min="11269" max="11269" width="15.26953125" style="4" customWidth="1"/>
    <col min="11270" max="11270" width="9.81640625" style="4" customWidth="1"/>
    <col min="11271" max="11271" width="8.7265625" style="4" customWidth="1"/>
    <col min="11272" max="11272" width="2.1796875" style="4" customWidth="1"/>
    <col min="11273" max="11274" width="9" style="4" customWidth="1"/>
    <col min="11275" max="11275" width="2.453125" style="4" customWidth="1"/>
    <col min="11276" max="11278" width="9" style="4" customWidth="1"/>
    <col min="11279" max="11279" width="9.81640625" style="4" customWidth="1"/>
    <col min="11280" max="11280" width="2.26953125" style="4" customWidth="1"/>
    <col min="11281" max="11282" width="9" style="4" customWidth="1"/>
    <col min="11283" max="11283" width="2.1796875" style="4" customWidth="1"/>
    <col min="11284" max="11285" width="9" style="4" customWidth="1"/>
    <col min="11286" max="11286" width="2.1796875" style="4" customWidth="1"/>
    <col min="11287" max="11288" width="10.1796875" style="4" customWidth="1"/>
    <col min="11289" max="11290" width="10.81640625" style="4" customWidth="1"/>
    <col min="11291" max="11291" width="31.7265625" style="4" customWidth="1"/>
    <col min="11292" max="11292" width="10.453125" style="4" bestFit="1" customWidth="1"/>
    <col min="11293" max="11522" width="9.1796875" style="4"/>
    <col min="11523" max="11523" width="5.54296875" style="4" bestFit="1" customWidth="1"/>
    <col min="11524" max="11524" width="45.81640625" style="4" customWidth="1"/>
    <col min="11525" max="11525" width="15.26953125" style="4" customWidth="1"/>
    <col min="11526" max="11526" width="9.81640625" style="4" customWidth="1"/>
    <col min="11527" max="11527" width="8.7265625" style="4" customWidth="1"/>
    <col min="11528" max="11528" width="2.1796875" style="4" customWidth="1"/>
    <col min="11529" max="11530" width="9" style="4" customWidth="1"/>
    <col min="11531" max="11531" width="2.453125" style="4" customWidth="1"/>
    <col min="11532" max="11534" width="9" style="4" customWidth="1"/>
    <col min="11535" max="11535" width="9.81640625" style="4" customWidth="1"/>
    <col min="11536" max="11536" width="2.26953125" style="4" customWidth="1"/>
    <col min="11537" max="11538" width="9" style="4" customWidth="1"/>
    <col min="11539" max="11539" width="2.1796875" style="4" customWidth="1"/>
    <col min="11540" max="11541" width="9" style="4" customWidth="1"/>
    <col min="11542" max="11542" width="2.1796875" style="4" customWidth="1"/>
    <col min="11543" max="11544" width="10.1796875" style="4" customWidth="1"/>
    <col min="11545" max="11546" width="10.81640625" style="4" customWidth="1"/>
    <col min="11547" max="11547" width="31.7265625" style="4" customWidth="1"/>
    <col min="11548" max="11548" width="10.453125" style="4" bestFit="1" customWidth="1"/>
    <col min="11549" max="11778" width="9.1796875" style="4"/>
    <col min="11779" max="11779" width="5.54296875" style="4" bestFit="1" customWidth="1"/>
    <col min="11780" max="11780" width="45.81640625" style="4" customWidth="1"/>
    <col min="11781" max="11781" width="15.26953125" style="4" customWidth="1"/>
    <col min="11782" max="11782" width="9.81640625" style="4" customWidth="1"/>
    <col min="11783" max="11783" width="8.7265625" style="4" customWidth="1"/>
    <col min="11784" max="11784" width="2.1796875" style="4" customWidth="1"/>
    <col min="11785" max="11786" width="9" style="4" customWidth="1"/>
    <col min="11787" max="11787" width="2.453125" style="4" customWidth="1"/>
    <col min="11788" max="11790" width="9" style="4" customWidth="1"/>
    <col min="11791" max="11791" width="9.81640625" style="4" customWidth="1"/>
    <col min="11792" max="11792" width="2.26953125" style="4" customWidth="1"/>
    <col min="11793" max="11794" width="9" style="4" customWidth="1"/>
    <col min="11795" max="11795" width="2.1796875" style="4" customWidth="1"/>
    <col min="11796" max="11797" width="9" style="4" customWidth="1"/>
    <col min="11798" max="11798" width="2.1796875" style="4" customWidth="1"/>
    <col min="11799" max="11800" width="10.1796875" style="4" customWidth="1"/>
    <col min="11801" max="11802" width="10.81640625" style="4" customWidth="1"/>
    <col min="11803" max="11803" width="31.7265625" style="4" customWidth="1"/>
    <col min="11804" max="11804" width="10.453125" style="4" bestFit="1" customWidth="1"/>
    <col min="11805" max="12034" width="9.1796875" style="4"/>
    <col min="12035" max="12035" width="5.54296875" style="4" bestFit="1" customWidth="1"/>
    <col min="12036" max="12036" width="45.81640625" style="4" customWidth="1"/>
    <col min="12037" max="12037" width="15.26953125" style="4" customWidth="1"/>
    <col min="12038" max="12038" width="9.81640625" style="4" customWidth="1"/>
    <col min="12039" max="12039" width="8.7265625" style="4" customWidth="1"/>
    <col min="12040" max="12040" width="2.1796875" style="4" customWidth="1"/>
    <col min="12041" max="12042" width="9" style="4" customWidth="1"/>
    <col min="12043" max="12043" width="2.453125" style="4" customWidth="1"/>
    <col min="12044" max="12046" width="9" style="4" customWidth="1"/>
    <col min="12047" max="12047" width="9.81640625" style="4" customWidth="1"/>
    <col min="12048" max="12048" width="2.26953125" style="4" customWidth="1"/>
    <col min="12049" max="12050" width="9" style="4" customWidth="1"/>
    <col min="12051" max="12051" width="2.1796875" style="4" customWidth="1"/>
    <col min="12052" max="12053" width="9" style="4" customWidth="1"/>
    <col min="12054" max="12054" width="2.1796875" style="4" customWidth="1"/>
    <col min="12055" max="12056" width="10.1796875" style="4" customWidth="1"/>
    <col min="12057" max="12058" width="10.81640625" style="4" customWidth="1"/>
    <col min="12059" max="12059" width="31.7265625" style="4" customWidth="1"/>
    <col min="12060" max="12060" width="10.453125" style="4" bestFit="1" customWidth="1"/>
    <col min="12061" max="12290" width="9.1796875" style="4"/>
    <col min="12291" max="12291" width="5.54296875" style="4" bestFit="1" customWidth="1"/>
    <col min="12292" max="12292" width="45.81640625" style="4" customWidth="1"/>
    <col min="12293" max="12293" width="15.26953125" style="4" customWidth="1"/>
    <col min="12294" max="12294" width="9.81640625" style="4" customWidth="1"/>
    <col min="12295" max="12295" width="8.7265625" style="4" customWidth="1"/>
    <col min="12296" max="12296" width="2.1796875" style="4" customWidth="1"/>
    <col min="12297" max="12298" width="9" style="4" customWidth="1"/>
    <col min="12299" max="12299" width="2.453125" style="4" customWidth="1"/>
    <col min="12300" max="12302" width="9" style="4" customWidth="1"/>
    <col min="12303" max="12303" width="9.81640625" style="4" customWidth="1"/>
    <col min="12304" max="12304" width="2.26953125" style="4" customWidth="1"/>
    <col min="12305" max="12306" width="9" style="4" customWidth="1"/>
    <col min="12307" max="12307" width="2.1796875" style="4" customWidth="1"/>
    <col min="12308" max="12309" width="9" style="4" customWidth="1"/>
    <col min="12310" max="12310" width="2.1796875" style="4" customWidth="1"/>
    <col min="12311" max="12312" width="10.1796875" style="4" customWidth="1"/>
    <col min="12313" max="12314" width="10.81640625" style="4" customWidth="1"/>
    <col min="12315" max="12315" width="31.7265625" style="4" customWidth="1"/>
    <col min="12316" max="12316" width="10.453125" style="4" bestFit="1" customWidth="1"/>
    <col min="12317" max="12546" width="9.1796875" style="4"/>
    <col min="12547" max="12547" width="5.54296875" style="4" bestFit="1" customWidth="1"/>
    <col min="12548" max="12548" width="45.81640625" style="4" customWidth="1"/>
    <col min="12549" max="12549" width="15.26953125" style="4" customWidth="1"/>
    <col min="12550" max="12550" width="9.81640625" style="4" customWidth="1"/>
    <col min="12551" max="12551" width="8.7265625" style="4" customWidth="1"/>
    <col min="12552" max="12552" width="2.1796875" style="4" customWidth="1"/>
    <col min="12553" max="12554" width="9" style="4" customWidth="1"/>
    <col min="12555" max="12555" width="2.453125" style="4" customWidth="1"/>
    <col min="12556" max="12558" width="9" style="4" customWidth="1"/>
    <col min="12559" max="12559" width="9.81640625" style="4" customWidth="1"/>
    <col min="12560" max="12560" width="2.26953125" style="4" customWidth="1"/>
    <col min="12561" max="12562" width="9" style="4" customWidth="1"/>
    <col min="12563" max="12563" width="2.1796875" style="4" customWidth="1"/>
    <col min="12564" max="12565" width="9" style="4" customWidth="1"/>
    <col min="12566" max="12566" width="2.1796875" style="4" customWidth="1"/>
    <col min="12567" max="12568" width="10.1796875" style="4" customWidth="1"/>
    <col min="12569" max="12570" width="10.81640625" style="4" customWidth="1"/>
    <col min="12571" max="12571" width="31.7265625" style="4" customWidth="1"/>
    <col min="12572" max="12572" width="10.453125" style="4" bestFit="1" customWidth="1"/>
    <col min="12573" max="12802" width="9.1796875" style="4"/>
    <col min="12803" max="12803" width="5.54296875" style="4" bestFit="1" customWidth="1"/>
    <col min="12804" max="12804" width="45.81640625" style="4" customWidth="1"/>
    <col min="12805" max="12805" width="15.26953125" style="4" customWidth="1"/>
    <col min="12806" max="12806" width="9.81640625" style="4" customWidth="1"/>
    <col min="12807" max="12807" width="8.7265625" style="4" customWidth="1"/>
    <col min="12808" max="12808" width="2.1796875" style="4" customWidth="1"/>
    <col min="12809" max="12810" width="9" style="4" customWidth="1"/>
    <col min="12811" max="12811" width="2.453125" style="4" customWidth="1"/>
    <col min="12812" max="12814" width="9" style="4" customWidth="1"/>
    <col min="12815" max="12815" width="9.81640625" style="4" customWidth="1"/>
    <col min="12816" max="12816" width="2.26953125" style="4" customWidth="1"/>
    <col min="12817" max="12818" width="9" style="4" customWidth="1"/>
    <col min="12819" max="12819" width="2.1796875" style="4" customWidth="1"/>
    <col min="12820" max="12821" width="9" style="4" customWidth="1"/>
    <col min="12822" max="12822" width="2.1796875" style="4" customWidth="1"/>
    <col min="12823" max="12824" width="10.1796875" style="4" customWidth="1"/>
    <col min="12825" max="12826" width="10.81640625" style="4" customWidth="1"/>
    <col min="12827" max="12827" width="31.7265625" style="4" customWidth="1"/>
    <col min="12828" max="12828" width="10.453125" style="4" bestFit="1" customWidth="1"/>
    <col min="12829" max="13058" width="9.1796875" style="4"/>
    <col min="13059" max="13059" width="5.54296875" style="4" bestFit="1" customWidth="1"/>
    <col min="13060" max="13060" width="45.81640625" style="4" customWidth="1"/>
    <col min="13061" max="13061" width="15.26953125" style="4" customWidth="1"/>
    <col min="13062" max="13062" width="9.81640625" style="4" customWidth="1"/>
    <col min="13063" max="13063" width="8.7265625" style="4" customWidth="1"/>
    <col min="13064" max="13064" width="2.1796875" style="4" customWidth="1"/>
    <col min="13065" max="13066" width="9" style="4" customWidth="1"/>
    <col min="13067" max="13067" width="2.453125" style="4" customWidth="1"/>
    <col min="13068" max="13070" width="9" style="4" customWidth="1"/>
    <col min="13071" max="13071" width="9.81640625" style="4" customWidth="1"/>
    <col min="13072" max="13072" width="2.26953125" style="4" customWidth="1"/>
    <col min="13073" max="13074" width="9" style="4" customWidth="1"/>
    <col min="13075" max="13075" width="2.1796875" style="4" customWidth="1"/>
    <col min="13076" max="13077" width="9" style="4" customWidth="1"/>
    <col min="13078" max="13078" width="2.1796875" style="4" customWidth="1"/>
    <col min="13079" max="13080" width="10.1796875" style="4" customWidth="1"/>
    <col min="13081" max="13082" width="10.81640625" style="4" customWidth="1"/>
    <col min="13083" max="13083" width="31.7265625" style="4" customWidth="1"/>
    <col min="13084" max="13084" width="10.453125" style="4" bestFit="1" customWidth="1"/>
    <col min="13085" max="13314" width="9.1796875" style="4"/>
    <col min="13315" max="13315" width="5.54296875" style="4" bestFit="1" customWidth="1"/>
    <col min="13316" max="13316" width="45.81640625" style="4" customWidth="1"/>
    <col min="13317" max="13317" width="15.26953125" style="4" customWidth="1"/>
    <col min="13318" max="13318" width="9.81640625" style="4" customWidth="1"/>
    <col min="13319" max="13319" width="8.7265625" style="4" customWidth="1"/>
    <col min="13320" max="13320" width="2.1796875" style="4" customWidth="1"/>
    <col min="13321" max="13322" width="9" style="4" customWidth="1"/>
    <col min="13323" max="13323" width="2.453125" style="4" customWidth="1"/>
    <col min="13324" max="13326" width="9" style="4" customWidth="1"/>
    <col min="13327" max="13327" width="9.81640625" style="4" customWidth="1"/>
    <col min="13328" max="13328" width="2.26953125" style="4" customWidth="1"/>
    <col min="13329" max="13330" width="9" style="4" customWidth="1"/>
    <col min="13331" max="13331" width="2.1796875" style="4" customWidth="1"/>
    <col min="13332" max="13333" width="9" style="4" customWidth="1"/>
    <col min="13334" max="13334" width="2.1796875" style="4" customWidth="1"/>
    <col min="13335" max="13336" width="10.1796875" style="4" customWidth="1"/>
    <col min="13337" max="13338" width="10.81640625" style="4" customWidth="1"/>
    <col min="13339" max="13339" width="31.7265625" style="4" customWidth="1"/>
    <col min="13340" max="13340" width="10.453125" style="4" bestFit="1" customWidth="1"/>
    <col min="13341" max="13570" width="9.1796875" style="4"/>
    <col min="13571" max="13571" width="5.54296875" style="4" bestFit="1" customWidth="1"/>
    <col min="13572" max="13572" width="45.81640625" style="4" customWidth="1"/>
    <col min="13573" max="13573" width="15.26953125" style="4" customWidth="1"/>
    <col min="13574" max="13574" width="9.81640625" style="4" customWidth="1"/>
    <col min="13575" max="13575" width="8.7265625" style="4" customWidth="1"/>
    <col min="13576" max="13576" width="2.1796875" style="4" customWidth="1"/>
    <col min="13577" max="13578" width="9" style="4" customWidth="1"/>
    <col min="13579" max="13579" width="2.453125" style="4" customWidth="1"/>
    <col min="13580" max="13582" width="9" style="4" customWidth="1"/>
    <col min="13583" max="13583" width="9.81640625" style="4" customWidth="1"/>
    <col min="13584" max="13584" width="2.26953125" style="4" customWidth="1"/>
    <col min="13585" max="13586" width="9" style="4" customWidth="1"/>
    <col min="13587" max="13587" width="2.1796875" style="4" customWidth="1"/>
    <col min="13588" max="13589" width="9" style="4" customWidth="1"/>
    <col min="13590" max="13590" width="2.1796875" style="4" customWidth="1"/>
    <col min="13591" max="13592" width="10.1796875" style="4" customWidth="1"/>
    <col min="13593" max="13594" width="10.81640625" style="4" customWidth="1"/>
    <col min="13595" max="13595" width="31.7265625" style="4" customWidth="1"/>
    <col min="13596" max="13596" width="10.453125" style="4" bestFit="1" customWidth="1"/>
    <col min="13597" max="13826" width="9.1796875" style="4"/>
    <col min="13827" max="13827" width="5.54296875" style="4" bestFit="1" customWidth="1"/>
    <col min="13828" max="13828" width="45.81640625" style="4" customWidth="1"/>
    <col min="13829" max="13829" width="15.26953125" style="4" customWidth="1"/>
    <col min="13830" max="13830" width="9.81640625" style="4" customWidth="1"/>
    <col min="13831" max="13831" width="8.7265625" style="4" customWidth="1"/>
    <col min="13832" max="13832" width="2.1796875" style="4" customWidth="1"/>
    <col min="13833" max="13834" width="9" style="4" customWidth="1"/>
    <col min="13835" max="13835" width="2.453125" style="4" customWidth="1"/>
    <col min="13836" max="13838" width="9" style="4" customWidth="1"/>
    <col min="13839" max="13839" width="9.81640625" style="4" customWidth="1"/>
    <col min="13840" max="13840" width="2.26953125" style="4" customWidth="1"/>
    <col min="13841" max="13842" width="9" style="4" customWidth="1"/>
    <col min="13843" max="13843" width="2.1796875" style="4" customWidth="1"/>
    <col min="13844" max="13845" width="9" style="4" customWidth="1"/>
    <col min="13846" max="13846" width="2.1796875" style="4" customWidth="1"/>
    <col min="13847" max="13848" width="10.1796875" style="4" customWidth="1"/>
    <col min="13849" max="13850" width="10.81640625" style="4" customWidth="1"/>
    <col min="13851" max="13851" width="31.7265625" style="4" customWidth="1"/>
    <col min="13852" max="13852" width="10.453125" style="4" bestFit="1" customWidth="1"/>
    <col min="13853" max="14082" width="9.1796875" style="4"/>
    <col min="14083" max="14083" width="5.54296875" style="4" bestFit="1" customWidth="1"/>
    <col min="14084" max="14084" width="45.81640625" style="4" customWidth="1"/>
    <col min="14085" max="14085" width="15.26953125" style="4" customWidth="1"/>
    <col min="14086" max="14086" width="9.81640625" style="4" customWidth="1"/>
    <col min="14087" max="14087" width="8.7265625" style="4" customWidth="1"/>
    <col min="14088" max="14088" width="2.1796875" style="4" customWidth="1"/>
    <col min="14089" max="14090" width="9" style="4" customWidth="1"/>
    <col min="14091" max="14091" width="2.453125" style="4" customWidth="1"/>
    <col min="14092" max="14094" width="9" style="4" customWidth="1"/>
    <col min="14095" max="14095" width="9.81640625" style="4" customWidth="1"/>
    <col min="14096" max="14096" width="2.26953125" style="4" customWidth="1"/>
    <col min="14097" max="14098" width="9" style="4" customWidth="1"/>
    <col min="14099" max="14099" width="2.1796875" style="4" customWidth="1"/>
    <col min="14100" max="14101" width="9" style="4" customWidth="1"/>
    <col min="14102" max="14102" width="2.1796875" style="4" customWidth="1"/>
    <col min="14103" max="14104" width="10.1796875" style="4" customWidth="1"/>
    <col min="14105" max="14106" width="10.81640625" style="4" customWidth="1"/>
    <col min="14107" max="14107" width="31.7265625" style="4" customWidth="1"/>
    <col min="14108" max="14108" width="10.453125" style="4" bestFit="1" customWidth="1"/>
    <col min="14109" max="14338" width="9.1796875" style="4"/>
    <col min="14339" max="14339" width="5.54296875" style="4" bestFit="1" customWidth="1"/>
    <col min="14340" max="14340" width="45.81640625" style="4" customWidth="1"/>
    <col min="14341" max="14341" width="15.26953125" style="4" customWidth="1"/>
    <col min="14342" max="14342" width="9.81640625" style="4" customWidth="1"/>
    <col min="14343" max="14343" width="8.7265625" style="4" customWidth="1"/>
    <col min="14344" max="14344" width="2.1796875" style="4" customWidth="1"/>
    <col min="14345" max="14346" width="9" style="4" customWidth="1"/>
    <col min="14347" max="14347" width="2.453125" style="4" customWidth="1"/>
    <col min="14348" max="14350" width="9" style="4" customWidth="1"/>
    <col min="14351" max="14351" width="9.81640625" style="4" customWidth="1"/>
    <col min="14352" max="14352" width="2.26953125" style="4" customWidth="1"/>
    <col min="14353" max="14354" width="9" style="4" customWidth="1"/>
    <col min="14355" max="14355" width="2.1796875" style="4" customWidth="1"/>
    <col min="14356" max="14357" width="9" style="4" customWidth="1"/>
    <col min="14358" max="14358" width="2.1796875" style="4" customWidth="1"/>
    <col min="14359" max="14360" width="10.1796875" style="4" customWidth="1"/>
    <col min="14361" max="14362" width="10.81640625" style="4" customWidth="1"/>
    <col min="14363" max="14363" width="31.7265625" style="4" customWidth="1"/>
    <col min="14364" max="14364" width="10.453125" style="4" bestFit="1" customWidth="1"/>
    <col min="14365" max="14594" width="9.1796875" style="4"/>
    <col min="14595" max="14595" width="5.54296875" style="4" bestFit="1" customWidth="1"/>
    <col min="14596" max="14596" width="45.81640625" style="4" customWidth="1"/>
    <col min="14597" max="14597" width="15.26953125" style="4" customWidth="1"/>
    <col min="14598" max="14598" width="9.81640625" style="4" customWidth="1"/>
    <col min="14599" max="14599" width="8.7265625" style="4" customWidth="1"/>
    <col min="14600" max="14600" width="2.1796875" style="4" customWidth="1"/>
    <col min="14601" max="14602" width="9" style="4" customWidth="1"/>
    <col min="14603" max="14603" width="2.453125" style="4" customWidth="1"/>
    <col min="14604" max="14606" width="9" style="4" customWidth="1"/>
    <col min="14607" max="14607" width="9.81640625" style="4" customWidth="1"/>
    <col min="14608" max="14608" width="2.26953125" style="4" customWidth="1"/>
    <col min="14609" max="14610" width="9" style="4" customWidth="1"/>
    <col min="14611" max="14611" width="2.1796875" style="4" customWidth="1"/>
    <col min="14612" max="14613" width="9" style="4" customWidth="1"/>
    <col min="14614" max="14614" width="2.1796875" style="4" customWidth="1"/>
    <col min="14615" max="14616" width="10.1796875" style="4" customWidth="1"/>
    <col min="14617" max="14618" width="10.81640625" style="4" customWidth="1"/>
    <col min="14619" max="14619" width="31.7265625" style="4" customWidth="1"/>
    <col min="14620" max="14620" width="10.453125" style="4" bestFit="1" customWidth="1"/>
    <col min="14621" max="14850" width="9.1796875" style="4"/>
    <col min="14851" max="14851" width="5.54296875" style="4" bestFit="1" customWidth="1"/>
    <col min="14852" max="14852" width="45.81640625" style="4" customWidth="1"/>
    <col min="14853" max="14853" width="15.26953125" style="4" customWidth="1"/>
    <col min="14854" max="14854" width="9.81640625" style="4" customWidth="1"/>
    <col min="14855" max="14855" width="8.7265625" style="4" customWidth="1"/>
    <col min="14856" max="14856" width="2.1796875" style="4" customWidth="1"/>
    <col min="14857" max="14858" width="9" style="4" customWidth="1"/>
    <col min="14859" max="14859" width="2.453125" style="4" customWidth="1"/>
    <col min="14860" max="14862" width="9" style="4" customWidth="1"/>
    <col min="14863" max="14863" width="9.81640625" style="4" customWidth="1"/>
    <col min="14864" max="14864" width="2.26953125" style="4" customWidth="1"/>
    <col min="14865" max="14866" width="9" style="4" customWidth="1"/>
    <col min="14867" max="14867" width="2.1796875" style="4" customWidth="1"/>
    <col min="14868" max="14869" width="9" style="4" customWidth="1"/>
    <col min="14870" max="14870" width="2.1796875" style="4" customWidth="1"/>
    <col min="14871" max="14872" width="10.1796875" style="4" customWidth="1"/>
    <col min="14873" max="14874" width="10.81640625" style="4" customWidth="1"/>
    <col min="14875" max="14875" width="31.7265625" style="4" customWidth="1"/>
    <col min="14876" max="14876" width="10.453125" style="4" bestFit="1" customWidth="1"/>
    <col min="14877" max="15106" width="9.1796875" style="4"/>
    <col min="15107" max="15107" width="5.54296875" style="4" bestFit="1" customWidth="1"/>
    <col min="15108" max="15108" width="45.81640625" style="4" customWidth="1"/>
    <col min="15109" max="15109" width="15.26953125" style="4" customWidth="1"/>
    <col min="15110" max="15110" width="9.81640625" style="4" customWidth="1"/>
    <col min="15111" max="15111" width="8.7265625" style="4" customWidth="1"/>
    <col min="15112" max="15112" width="2.1796875" style="4" customWidth="1"/>
    <col min="15113" max="15114" width="9" style="4" customWidth="1"/>
    <col min="15115" max="15115" width="2.453125" style="4" customWidth="1"/>
    <col min="15116" max="15118" width="9" style="4" customWidth="1"/>
    <col min="15119" max="15119" width="9.81640625" style="4" customWidth="1"/>
    <col min="15120" max="15120" width="2.26953125" style="4" customWidth="1"/>
    <col min="15121" max="15122" width="9" style="4" customWidth="1"/>
    <col min="15123" max="15123" width="2.1796875" style="4" customWidth="1"/>
    <col min="15124" max="15125" width="9" style="4" customWidth="1"/>
    <col min="15126" max="15126" width="2.1796875" style="4" customWidth="1"/>
    <col min="15127" max="15128" width="10.1796875" style="4" customWidth="1"/>
    <col min="15129" max="15130" width="10.81640625" style="4" customWidth="1"/>
    <col min="15131" max="15131" width="31.7265625" style="4" customWidth="1"/>
    <col min="15132" max="15132" width="10.453125" style="4" bestFit="1" customWidth="1"/>
    <col min="15133" max="15362" width="9.1796875" style="4"/>
    <col min="15363" max="15363" width="5.54296875" style="4" bestFit="1" customWidth="1"/>
    <col min="15364" max="15364" width="45.81640625" style="4" customWidth="1"/>
    <col min="15365" max="15365" width="15.26953125" style="4" customWidth="1"/>
    <col min="15366" max="15366" width="9.81640625" style="4" customWidth="1"/>
    <col min="15367" max="15367" width="8.7265625" style="4" customWidth="1"/>
    <col min="15368" max="15368" width="2.1796875" style="4" customWidth="1"/>
    <col min="15369" max="15370" width="9" style="4" customWidth="1"/>
    <col min="15371" max="15371" width="2.453125" style="4" customWidth="1"/>
    <col min="15372" max="15374" width="9" style="4" customWidth="1"/>
    <col min="15375" max="15375" width="9.81640625" style="4" customWidth="1"/>
    <col min="15376" max="15376" width="2.26953125" style="4" customWidth="1"/>
    <col min="15377" max="15378" width="9" style="4" customWidth="1"/>
    <col min="15379" max="15379" width="2.1796875" style="4" customWidth="1"/>
    <col min="15380" max="15381" width="9" style="4" customWidth="1"/>
    <col min="15382" max="15382" width="2.1796875" style="4" customWidth="1"/>
    <col min="15383" max="15384" width="10.1796875" style="4" customWidth="1"/>
    <col min="15385" max="15386" width="10.81640625" style="4" customWidth="1"/>
    <col min="15387" max="15387" width="31.7265625" style="4" customWidth="1"/>
    <col min="15388" max="15388" width="10.453125" style="4" bestFit="1" customWidth="1"/>
    <col min="15389" max="15618" width="9.1796875" style="4"/>
    <col min="15619" max="15619" width="5.54296875" style="4" bestFit="1" customWidth="1"/>
    <col min="15620" max="15620" width="45.81640625" style="4" customWidth="1"/>
    <col min="15621" max="15621" width="15.26953125" style="4" customWidth="1"/>
    <col min="15622" max="15622" width="9.81640625" style="4" customWidth="1"/>
    <col min="15623" max="15623" width="8.7265625" style="4" customWidth="1"/>
    <col min="15624" max="15624" width="2.1796875" style="4" customWidth="1"/>
    <col min="15625" max="15626" width="9" style="4" customWidth="1"/>
    <col min="15627" max="15627" width="2.453125" style="4" customWidth="1"/>
    <col min="15628" max="15630" width="9" style="4" customWidth="1"/>
    <col min="15631" max="15631" width="9.81640625" style="4" customWidth="1"/>
    <col min="15632" max="15632" width="2.26953125" style="4" customWidth="1"/>
    <col min="15633" max="15634" width="9" style="4" customWidth="1"/>
    <col min="15635" max="15635" width="2.1796875" style="4" customWidth="1"/>
    <col min="15636" max="15637" width="9" style="4" customWidth="1"/>
    <col min="15638" max="15638" width="2.1796875" style="4" customWidth="1"/>
    <col min="15639" max="15640" width="10.1796875" style="4" customWidth="1"/>
    <col min="15641" max="15642" width="10.81640625" style="4" customWidth="1"/>
    <col min="15643" max="15643" width="31.7265625" style="4" customWidth="1"/>
    <col min="15644" max="15644" width="10.453125" style="4" bestFit="1" customWidth="1"/>
    <col min="15645" max="15874" width="9.1796875" style="4"/>
    <col min="15875" max="15875" width="5.54296875" style="4" bestFit="1" customWidth="1"/>
    <col min="15876" max="15876" width="45.81640625" style="4" customWidth="1"/>
    <col min="15877" max="15877" width="15.26953125" style="4" customWidth="1"/>
    <col min="15878" max="15878" width="9.81640625" style="4" customWidth="1"/>
    <col min="15879" max="15879" width="8.7265625" style="4" customWidth="1"/>
    <col min="15880" max="15880" width="2.1796875" style="4" customWidth="1"/>
    <col min="15881" max="15882" width="9" style="4" customWidth="1"/>
    <col min="15883" max="15883" width="2.453125" style="4" customWidth="1"/>
    <col min="15884" max="15886" width="9" style="4" customWidth="1"/>
    <col min="15887" max="15887" width="9.81640625" style="4" customWidth="1"/>
    <col min="15888" max="15888" width="2.26953125" style="4" customWidth="1"/>
    <col min="15889" max="15890" width="9" style="4" customWidth="1"/>
    <col min="15891" max="15891" width="2.1796875" style="4" customWidth="1"/>
    <col min="15892" max="15893" width="9" style="4" customWidth="1"/>
    <col min="15894" max="15894" width="2.1796875" style="4" customWidth="1"/>
    <col min="15895" max="15896" width="10.1796875" style="4" customWidth="1"/>
    <col min="15897" max="15898" width="10.81640625" style="4" customWidth="1"/>
    <col min="15899" max="15899" width="31.7265625" style="4" customWidth="1"/>
    <col min="15900" max="15900" width="10.453125" style="4" bestFit="1" customWidth="1"/>
    <col min="15901" max="16130" width="9.1796875" style="4"/>
    <col min="16131" max="16131" width="5.54296875" style="4" bestFit="1" customWidth="1"/>
    <col min="16132" max="16132" width="45.81640625" style="4" customWidth="1"/>
    <col min="16133" max="16133" width="15.26953125" style="4" customWidth="1"/>
    <col min="16134" max="16134" width="9.81640625" style="4" customWidth="1"/>
    <col min="16135" max="16135" width="8.7265625" style="4" customWidth="1"/>
    <col min="16136" max="16136" width="2.1796875" style="4" customWidth="1"/>
    <col min="16137" max="16138" width="9" style="4" customWidth="1"/>
    <col min="16139" max="16139" width="2.453125" style="4" customWidth="1"/>
    <col min="16140" max="16142" width="9" style="4" customWidth="1"/>
    <col min="16143" max="16143" width="9.81640625" style="4" customWidth="1"/>
    <col min="16144" max="16144" width="2.26953125" style="4" customWidth="1"/>
    <col min="16145" max="16146" width="9" style="4" customWidth="1"/>
    <col min="16147" max="16147" width="2.1796875" style="4" customWidth="1"/>
    <col min="16148" max="16149" width="9" style="4" customWidth="1"/>
    <col min="16150" max="16150" width="2.1796875" style="4" customWidth="1"/>
    <col min="16151" max="16152" width="10.1796875" style="4" customWidth="1"/>
    <col min="16153" max="16154" width="10.81640625" style="4" customWidth="1"/>
    <col min="16155" max="16155" width="31.7265625" style="4" customWidth="1"/>
    <col min="16156" max="16156" width="10.453125" style="4" bestFit="1" customWidth="1"/>
    <col min="16157" max="16384" width="9.1796875" style="4"/>
  </cols>
  <sheetData>
    <row r="1" spans="1:37" ht="20.25" customHeight="1" x14ac:dyDescent="0.55000000000000004">
      <c r="A1" s="101">
        <v>60910200</v>
      </c>
      <c r="B1" s="101"/>
      <c r="C1" s="100" t="s">
        <v>48</v>
      </c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28" t="s">
        <v>47</v>
      </c>
      <c r="AD1" s="58"/>
      <c r="AK1" s="57" t="s">
        <v>49</v>
      </c>
    </row>
    <row r="2" spans="1:37" ht="18" customHeight="1" x14ac:dyDescent="0.55000000000000004">
      <c r="A2" s="103" t="s">
        <v>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8"/>
      <c r="AK2" s="57" t="s">
        <v>50</v>
      </c>
    </row>
    <row r="3" spans="1:37" ht="21.75" customHeight="1" x14ac:dyDescent="0.4">
      <c r="A3" s="103" t="s">
        <v>28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8"/>
    </row>
    <row r="4" spans="1:37" x14ac:dyDescent="0.4">
      <c r="A4" s="104" t="s">
        <v>51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8"/>
    </row>
    <row r="5" spans="1:37" x14ac:dyDescent="0.4">
      <c r="A5" s="103" t="s">
        <v>1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8"/>
    </row>
    <row r="6" spans="1:37" x14ac:dyDescent="0.4">
      <c r="A6" s="103" t="s">
        <v>40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8"/>
    </row>
    <row r="7" spans="1:37" ht="11.25" customHeight="1" x14ac:dyDescent="0.4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</row>
    <row r="8" spans="1:37" x14ac:dyDescent="0.4">
      <c r="A8" s="105" t="s">
        <v>2</v>
      </c>
      <c r="B8" s="105"/>
      <c r="C8" s="106" t="s">
        <v>30</v>
      </c>
      <c r="D8" s="106"/>
      <c r="E8" s="106"/>
      <c r="F8" s="106"/>
      <c r="G8" s="106"/>
      <c r="H8" s="106"/>
      <c r="I8" s="106"/>
      <c r="J8" s="106"/>
      <c r="K8" s="106"/>
      <c r="L8" s="19"/>
      <c r="M8" s="19"/>
      <c r="N8" s="19"/>
      <c r="O8" s="19"/>
      <c r="P8" s="19"/>
      <c r="Q8" s="20">
        <v>1</v>
      </c>
      <c r="R8" s="21" t="s">
        <v>3</v>
      </c>
      <c r="S8" s="19" t="s">
        <v>4</v>
      </c>
      <c r="T8" s="20">
        <v>1</v>
      </c>
      <c r="U8" s="18" t="s">
        <v>3</v>
      </c>
      <c r="V8" s="106" t="s">
        <v>5</v>
      </c>
      <c r="W8" s="106"/>
      <c r="X8" s="19"/>
      <c r="Y8" s="19"/>
      <c r="Z8" s="19" t="s">
        <v>44</v>
      </c>
      <c r="AA8" s="22" t="s">
        <v>6</v>
      </c>
    </row>
    <row r="9" spans="1:37" x14ac:dyDescent="0.4">
      <c r="A9" s="23"/>
      <c r="B9" s="23"/>
      <c r="C9" s="22"/>
      <c r="D9" s="22"/>
      <c r="E9" s="22"/>
      <c r="F9" s="22"/>
      <c r="G9" s="22"/>
      <c r="H9" s="22"/>
      <c r="I9" s="22"/>
      <c r="J9" s="22"/>
      <c r="K9" s="22"/>
      <c r="L9" s="19"/>
      <c r="M9" s="19"/>
      <c r="N9" s="19"/>
      <c r="O9" s="19"/>
      <c r="P9" s="19"/>
      <c r="Q9" s="20"/>
      <c r="R9" s="21"/>
      <c r="S9" s="19"/>
      <c r="T9" s="20"/>
      <c r="U9" s="18"/>
      <c r="V9" s="22"/>
      <c r="W9" s="22"/>
      <c r="X9" s="19"/>
      <c r="Y9" s="19"/>
      <c r="Z9" s="19"/>
      <c r="AA9" s="22"/>
    </row>
    <row r="10" spans="1:37" x14ac:dyDescent="0.4">
      <c r="A10" s="105" t="s">
        <v>41</v>
      </c>
      <c r="B10" s="105"/>
      <c r="C10" s="107" t="s">
        <v>52</v>
      </c>
      <c r="D10" s="107"/>
      <c r="E10" s="107"/>
      <c r="F10" s="107"/>
      <c r="G10" s="107"/>
      <c r="H10" s="107"/>
      <c r="I10" s="107"/>
      <c r="J10" s="107"/>
      <c r="K10" s="107"/>
      <c r="L10" s="24"/>
      <c r="M10" s="24"/>
      <c r="N10" s="24"/>
      <c r="O10" s="24"/>
      <c r="P10" s="24"/>
      <c r="Q10" s="24"/>
      <c r="R10" s="25"/>
      <c r="S10" s="108" t="s">
        <v>7</v>
      </c>
      <c r="T10" s="108"/>
      <c r="U10" s="108"/>
      <c r="V10" s="108"/>
      <c r="W10" s="108"/>
      <c r="X10" s="102"/>
      <c r="Y10" s="102"/>
      <c r="Z10" s="102"/>
      <c r="AA10" s="102"/>
    </row>
    <row r="11" spans="1:37" ht="22.5" customHeight="1" x14ac:dyDescent="0.4">
      <c r="A11" s="110" t="s">
        <v>8</v>
      </c>
      <c r="B11" s="110"/>
      <c r="C11" s="111"/>
      <c r="D11" s="111"/>
      <c r="E11" s="111"/>
      <c r="F11" s="111"/>
      <c r="G11" s="111"/>
      <c r="H11" s="111"/>
      <c r="I11" s="111"/>
      <c r="J11" s="111"/>
      <c r="K11" s="111"/>
      <c r="L11" s="26"/>
      <c r="M11" s="26"/>
      <c r="N11" s="26"/>
      <c r="O11" s="26"/>
      <c r="P11" s="26"/>
      <c r="Q11" s="26"/>
      <c r="S11" s="112" t="s">
        <v>7</v>
      </c>
      <c r="T11" s="112"/>
      <c r="U11" s="112"/>
      <c r="V11" s="112"/>
      <c r="W11" s="112"/>
      <c r="X11" s="113"/>
      <c r="Y11" s="113"/>
      <c r="Z11" s="113"/>
      <c r="AA11" s="113"/>
    </row>
    <row r="12" spans="1:37" ht="24" customHeight="1" x14ac:dyDescent="0.4">
      <c r="A12" s="15"/>
      <c r="B12" s="15"/>
      <c r="D12" s="15"/>
      <c r="E12" s="27"/>
      <c r="F12" s="15"/>
      <c r="G12" s="15"/>
      <c r="H12" s="15"/>
      <c r="I12" s="15"/>
      <c r="J12" s="15"/>
      <c r="K12" s="15"/>
      <c r="M12" s="15"/>
      <c r="N12" s="15"/>
      <c r="O12" s="15"/>
      <c r="S12" s="112" t="s">
        <v>7</v>
      </c>
      <c r="T12" s="112"/>
      <c r="U12" s="112"/>
      <c r="V12" s="112"/>
      <c r="W12" s="112"/>
      <c r="X12" s="113"/>
      <c r="Y12" s="113"/>
      <c r="Z12" s="113"/>
      <c r="AA12" s="113"/>
    </row>
    <row r="13" spans="1:37" ht="21.75" customHeight="1" x14ac:dyDescent="0.4">
      <c r="A13" s="114" t="s">
        <v>34</v>
      </c>
      <c r="B13" s="114"/>
      <c r="C13" s="114"/>
      <c r="D13" s="53"/>
      <c r="E13" s="28" t="s">
        <v>9</v>
      </c>
      <c r="F13" s="28"/>
      <c r="G13" s="28"/>
      <c r="H13" s="28"/>
      <c r="I13" s="28"/>
      <c r="J13" s="53"/>
      <c r="K13" s="29"/>
      <c r="L13" s="29"/>
      <c r="M13" s="29"/>
      <c r="N13" s="147"/>
      <c r="O13" s="147"/>
      <c r="P13" s="147"/>
      <c r="Q13" s="147"/>
      <c r="R13" s="67"/>
      <c r="S13" s="109"/>
      <c r="T13" s="109"/>
      <c r="U13" s="109"/>
      <c r="V13" s="109"/>
      <c r="W13" s="66"/>
      <c r="X13" s="66"/>
      <c r="Y13" s="66"/>
      <c r="Z13" s="66"/>
      <c r="AA13" s="28"/>
    </row>
    <row r="14" spans="1:37" s="33" customFormat="1" ht="21" customHeight="1" thickBot="1" x14ac:dyDescent="0.4">
      <c r="A14" s="30"/>
      <c r="B14" s="30"/>
      <c r="C14" s="31"/>
      <c r="D14" s="32"/>
      <c r="E14" s="32"/>
      <c r="F14" s="32"/>
      <c r="G14" s="32"/>
      <c r="H14" s="32"/>
      <c r="I14" s="32"/>
      <c r="J14" s="32"/>
      <c r="N14" s="32"/>
      <c r="O14" s="32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2"/>
      <c r="AB14" s="32"/>
      <c r="AC14" s="32"/>
      <c r="AD14" s="32"/>
    </row>
    <row r="15" spans="1:37" ht="28.5" customHeight="1" x14ac:dyDescent="0.4">
      <c r="A15" s="133" t="s">
        <v>10</v>
      </c>
      <c r="B15" s="136" t="s">
        <v>29</v>
      </c>
      <c r="C15" s="139" t="s">
        <v>33</v>
      </c>
      <c r="D15" s="142" t="s">
        <v>14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3"/>
      <c r="R15" s="115"/>
      <c r="S15" s="118" t="s">
        <v>11</v>
      </c>
      <c r="T15" s="119"/>
      <c r="U15" s="119"/>
      <c r="V15" s="119"/>
      <c r="W15" s="120"/>
      <c r="X15" s="124"/>
      <c r="Y15" s="127" t="s">
        <v>12</v>
      </c>
      <c r="Z15" s="129" t="s">
        <v>32</v>
      </c>
      <c r="AA15" s="149" t="s">
        <v>13</v>
      </c>
      <c r="AB15" s="153"/>
    </row>
    <row r="16" spans="1:37" ht="31.5" customHeight="1" thickBot="1" x14ac:dyDescent="0.45">
      <c r="A16" s="134"/>
      <c r="B16" s="137"/>
      <c r="C16" s="140"/>
      <c r="D16" s="144"/>
      <c r="E16" s="144"/>
      <c r="F16" s="144"/>
      <c r="G16" s="145"/>
      <c r="H16" s="145"/>
      <c r="I16" s="145"/>
      <c r="J16" s="144"/>
      <c r="K16" s="144"/>
      <c r="L16" s="144"/>
      <c r="M16" s="144"/>
      <c r="N16" s="144"/>
      <c r="O16" s="145"/>
      <c r="P16" s="144"/>
      <c r="Q16" s="146"/>
      <c r="R16" s="116"/>
      <c r="S16" s="121"/>
      <c r="T16" s="122"/>
      <c r="U16" s="122"/>
      <c r="V16" s="122"/>
      <c r="W16" s="123"/>
      <c r="X16" s="125"/>
      <c r="Y16" s="128"/>
      <c r="Z16" s="130"/>
      <c r="AA16" s="152"/>
      <c r="AB16" s="154"/>
    </row>
    <row r="17" spans="1:28" ht="23.25" customHeight="1" x14ac:dyDescent="0.4">
      <c r="A17" s="134"/>
      <c r="B17" s="137"/>
      <c r="C17" s="140"/>
      <c r="D17" s="155" t="s">
        <v>54</v>
      </c>
      <c r="E17" s="156"/>
      <c r="F17" s="157"/>
      <c r="G17" s="148" t="s">
        <v>55</v>
      </c>
      <c r="H17" s="149"/>
      <c r="I17" s="68"/>
      <c r="J17" s="155" t="s">
        <v>56</v>
      </c>
      <c r="K17" s="156"/>
      <c r="L17" s="157"/>
      <c r="M17" s="148" t="s">
        <v>57</v>
      </c>
      <c r="N17" s="160"/>
      <c r="O17" s="68"/>
      <c r="P17" s="160" t="s">
        <v>42</v>
      </c>
      <c r="Q17" s="149"/>
      <c r="R17" s="116"/>
      <c r="S17" s="155" t="s">
        <v>15</v>
      </c>
      <c r="T17" s="156"/>
      <c r="U17" s="157"/>
      <c r="V17" s="155" t="s">
        <v>16</v>
      </c>
      <c r="W17" s="156"/>
      <c r="X17" s="125"/>
      <c r="Y17" s="128"/>
      <c r="Z17" s="130"/>
      <c r="AA17" s="152"/>
      <c r="AB17" s="154"/>
    </row>
    <row r="18" spans="1:28" ht="23.25" customHeight="1" x14ac:dyDescent="0.4">
      <c r="A18" s="134"/>
      <c r="B18" s="137"/>
      <c r="C18" s="140"/>
      <c r="D18" s="1" t="s">
        <v>17</v>
      </c>
      <c r="E18" s="2" t="s">
        <v>18</v>
      </c>
      <c r="F18" s="158"/>
      <c r="G18" s="1" t="s">
        <v>17</v>
      </c>
      <c r="H18" s="2" t="s">
        <v>18</v>
      </c>
      <c r="I18" s="77"/>
      <c r="J18" s="1" t="s">
        <v>17</v>
      </c>
      <c r="K18" s="2" t="s">
        <v>18</v>
      </c>
      <c r="L18" s="158"/>
      <c r="M18" s="1" t="s">
        <v>17</v>
      </c>
      <c r="N18" s="73" t="s">
        <v>18</v>
      </c>
      <c r="O18" s="77"/>
      <c r="P18" s="78" t="s">
        <v>18</v>
      </c>
      <c r="Q18" s="2" t="s">
        <v>17</v>
      </c>
      <c r="R18" s="116"/>
      <c r="S18" s="1" t="s">
        <v>17</v>
      </c>
      <c r="T18" s="2" t="s">
        <v>18</v>
      </c>
      <c r="U18" s="158"/>
      <c r="V18" s="1" t="s">
        <v>17</v>
      </c>
      <c r="W18" s="2" t="s">
        <v>18</v>
      </c>
      <c r="X18" s="125"/>
      <c r="Y18" s="128"/>
      <c r="Z18" s="130"/>
      <c r="AA18" s="152"/>
      <c r="AB18" s="154"/>
    </row>
    <row r="19" spans="1:28" ht="20.25" customHeight="1" thickBot="1" x14ac:dyDescent="0.45">
      <c r="A19" s="135"/>
      <c r="B19" s="138"/>
      <c r="C19" s="141"/>
      <c r="D19" s="161">
        <v>30</v>
      </c>
      <c r="E19" s="162"/>
      <c r="F19" s="159"/>
      <c r="G19" s="150">
        <v>5</v>
      </c>
      <c r="H19" s="151"/>
      <c r="I19" s="69"/>
      <c r="J19" s="131">
        <v>30</v>
      </c>
      <c r="K19" s="132"/>
      <c r="L19" s="159"/>
      <c r="M19" s="163">
        <v>5</v>
      </c>
      <c r="N19" s="164"/>
      <c r="O19" s="69"/>
      <c r="P19" s="165">
        <f>D19+M19+J19+G19</f>
        <v>70</v>
      </c>
      <c r="Q19" s="166"/>
      <c r="R19" s="117"/>
      <c r="S19" s="131">
        <v>30</v>
      </c>
      <c r="T19" s="132"/>
      <c r="U19" s="159"/>
      <c r="V19" s="131">
        <v>0</v>
      </c>
      <c r="W19" s="132"/>
      <c r="X19" s="126"/>
      <c r="Y19" s="35">
        <f>P19+S19+V19</f>
        <v>100</v>
      </c>
      <c r="Z19" s="130"/>
      <c r="AA19" s="151"/>
      <c r="AB19" s="154"/>
    </row>
    <row r="20" spans="1:28" s="39" customFormat="1" x14ac:dyDescent="0.4">
      <c r="A20" s="36"/>
      <c r="B20" s="59"/>
      <c r="C20" s="74"/>
      <c r="D20" s="56"/>
      <c r="E20" s="10"/>
      <c r="F20" s="38"/>
      <c r="G20" s="56"/>
      <c r="H20" s="10"/>
      <c r="I20" s="45"/>
      <c r="J20" s="56"/>
      <c r="K20" s="10"/>
      <c r="L20" s="38"/>
      <c r="M20" s="56"/>
      <c r="N20" s="10"/>
      <c r="O20" s="11"/>
      <c r="P20" s="17"/>
      <c r="Q20" s="63"/>
      <c r="R20" s="38"/>
      <c r="S20" s="56"/>
      <c r="T20" s="10"/>
      <c r="U20" s="38"/>
      <c r="V20" s="37"/>
      <c r="W20" s="10"/>
      <c r="X20" s="38"/>
      <c r="Y20" s="54"/>
      <c r="Z20" s="54"/>
      <c r="AA20" s="54"/>
      <c r="AB20" s="54"/>
    </row>
    <row r="21" spans="1:28" s="39" customFormat="1" ht="18.5" thickBot="1" x14ac:dyDescent="0.45">
      <c r="A21" s="61"/>
      <c r="B21" s="62"/>
      <c r="C21" s="75"/>
      <c r="D21" s="70"/>
      <c r="E21" s="71"/>
      <c r="F21" s="5"/>
      <c r="G21" s="72"/>
      <c r="H21" s="76"/>
      <c r="I21" s="45"/>
      <c r="J21" s="70"/>
      <c r="K21" s="71"/>
      <c r="L21" s="5"/>
      <c r="M21" s="70"/>
      <c r="N21" s="71"/>
      <c r="O21" s="11"/>
      <c r="P21" s="64"/>
      <c r="Q21" s="65"/>
      <c r="R21" s="5"/>
      <c r="S21" s="60"/>
      <c r="T21" s="16"/>
      <c r="U21" s="5"/>
      <c r="V21" s="55"/>
      <c r="W21" s="16" t="s">
        <v>53</v>
      </c>
      <c r="X21" s="5"/>
      <c r="Y21" s="79"/>
      <c r="Z21" s="79"/>
      <c r="AA21" s="79"/>
      <c r="AB21" s="79"/>
    </row>
    <row r="22" spans="1:28" s="99" customFormat="1" thickBot="1" x14ac:dyDescent="0.4">
      <c r="A22" s="80"/>
      <c r="B22" s="81" t="s">
        <v>19</v>
      </c>
      <c r="C22" s="82"/>
      <c r="D22" s="83"/>
      <c r="E22" s="84"/>
      <c r="F22" s="85"/>
      <c r="G22" s="86"/>
      <c r="H22" s="87"/>
      <c r="I22" s="88"/>
      <c r="J22" s="89"/>
      <c r="K22" s="90"/>
      <c r="L22" s="85"/>
      <c r="M22" s="91"/>
      <c r="N22" s="90"/>
      <c r="O22" s="92"/>
      <c r="P22" s="89"/>
      <c r="Q22" s="90" t="e">
        <f>AVERAGE(Q20:Q21)</f>
        <v>#DIV/0!</v>
      </c>
      <c r="R22" s="93"/>
      <c r="S22" s="83"/>
      <c r="T22" s="84"/>
      <c r="U22" s="85"/>
      <c r="V22" s="94"/>
      <c r="W22" s="84"/>
      <c r="X22" s="95"/>
      <c r="Y22" s="96"/>
      <c r="Z22" s="97"/>
      <c r="AA22" s="98"/>
      <c r="AB22" s="98"/>
    </row>
    <row r="23" spans="1:28" x14ac:dyDescent="0.4">
      <c r="A23" s="29"/>
      <c r="B23" s="28"/>
      <c r="C23" s="40"/>
      <c r="D23" s="14"/>
      <c r="E23" s="12"/>
      <c r="F23" s="5"/>
      <c r="G23" s="5"/>
      <c r="H23" s="5"/>
      <c r="I23" s="5"/>
      <c r="J23" s="14"/>
      <c r="K23" s="12"/>
      <c r="L23" s="5"/>
      <c r="M23" s="14"/>
      <c r="N23" s="12"/>
      <c r="O23" s="12"/>
      <c r="P23" s="14"/>
      <c r="Q23" s="14"/>
      <c r="R23" s="41"/>
      <c r="S23" s="14"/>
      <c r="T23" s="12"/>
      <c r="U23" s="5"/>
      <c r="V23" s="14"/>
      <c r="W23" s="12"/>
      <c r="X23" s="42"/>
      <c r="Y23" s="43"/>
      <c r="Z23" s="43"/>
      <c r="AA23" s="29"/>
      <c r="AB23" s="29"/>
    </row>
    <row r="24" spans="1:28" x14ac:dyDescent="0.4">
      <c r="A24" s="29"/>
      <c r="B24" s="28"/>
      <c r="C24" s="40"/>
      <c r="D24" s="14"/>
      <c r="E24" s="12"/>
      <c r="F24" s="5"/>
      <c r="G24" s="5"/>
      <c r="H24" s="5"/>
      <c r="I24" s="5"/>
      <c r="J24" s="14"/>
      <c r="K24" s="12"/>
      <c r="L24" s="5"/>
      <c r="M24" s="14"/>
      <c r="N24" s="12"/>
      <c r="O24" s="12"/>
      <c r="P24" s="14"/>
      <c r="Q24" s="174"/>
      <c r="R24" s="174"/>
      <c r="S24" s="174"/>
      <c r="T24" s="174"/>
      <c r="U24" s="174"/>
      <c r="V24" s="174"/>
      <c r="W24" s="174" t="s">
        <v>45</v>
      </c>
      <c r="X24" s="174"/>
      <c r="Y24" s="9" t="s">
        <v>17</v>
      </c>
      <c r="Z24" s="43"/>
      <c r="AA24" s="29"/>
      <c r="AB24" s="189"/>
    </row>
    <row r="25" spans="1:28" x14ac:dyDescent="0.4">
      <c r="A25" s="44"/>
      <c r="B25" s="44"/>
      <c r="C25" s="44"/>
      <c r="D25" s="175"/>
      <c r="E25" s="175"/>
      <c r="F25" s="12"/>
      <c r="G25" s="12"/>
      <c r="H25" s="12"/>
      <c r="I25" s="12"/>
      <c r="J25" s="175"/>
      <c r="K25" s="175"/>
      <c r="L25" s="12"/>
      <c r="M25" s="175"/>
      <c r="N25" s="175"/>
      <c r="O25" s="14"/>
      <c r="Q25" s="176" t="s">
        <v>46</v>
      </c>
      <c r="R25" s="176"/>
      <c r="S25" s="176"/>
      <c r="T25" s="176"/>
      <c r="U25" s="176"/>
      <c r="V25" s="176"/>
      <c r="W25" s="170">
        <f>F29+F30+Q29</f>
        <v>0</v>
      </c>
      <c r="X25" s="172"/>
      <c r="Y25" s="9">
        <f>IFERROR(W25/C29*100,0)</f>
        <v>0</v>
      </c>
      <c r="Z25" s="13"/>
      <c r="AA25" s="45"/>
      <c r="AB25" s="189"/>
    </row>
    <row r="26" spans="1:28" x14ac:dyDescent="0.4">
      <c r="A26" s="44"/>
      <c r="B26" s="44"/>
      <c r="C26" s="44"/>
      <c r="D26" s="175"/>
      <c r="E26" s="175"/>
      <c r="F26" s="12"/>
      <c r="G26" s="12"/>
      <c r="H26" s="12"/>
      <c r="I26" s="12"/>
      <c r="J26" s="175"/>
      <c r="K26" s="175"/>
      <c r="L26" s="12"/>
      <c r="M26" s="175"/>
      <c r="N26" s="175"/>
      <c r="O26" s="14"/>
      <c r="Q26" s="176" t="s">
        <v>20</v>
      </c>
      <c r="R26" s="176"/>
      <c r="S26" s="176"/>
      <c r="T26" s="176"/>
      <c r="U26" s="176"/>
      <c r="V26" s="176"/>
      <c r="W26" s="170">
        <f>F29+F30</f>
        <v>0</v>
      </c>
      <c r="X26" s="172"/>
      <c r="Y26" s="9">
        <f>IFERROR(W26/C29*100,0)</f>
        <v>0</v>
      </c>
      <c r="Z26" s="13"/>
      <c r="AA26" s="45"/>
      <c r="AB26" s="189"/>
    </row>
    <row r="27" spans="1:28" x14ac:dyDescent="0.4">
      <c r="A27" s="3"/>
      <c r="B27" s="3"/>
      <c r="C27" s="44"/>
      <c r="D27" s="14"/>
      <c r="E27" s="14"/>
      <c r="F27" s="12"/>
      <c r="G27" s="12"/>
      <c r="H27" s="12"/>
      <c r="I27" s="12"/>
      <c r="J27" s="14"/>
      <c r="K27" s="14"/>
      <c r="L27" s="12"/>
      <c r="M27" s="14"/>
      <c r="N27" s="14"/>
      <c r="O27" s="14"/>
      <c r="P27" s="14"/>
      <c r="Q27" s="12"/>
      <c r="R27" s="12"/>
      <c r="S27" s="12"/>
      <c r="T27" s="12"/>
      <c r="U27" s="12"/>
      <c r="V27" s="12"/>
      <c r="W27" s="12"/>
      <c r="X27" s="12"/>
      <c r="Y27" s="13"/>
      <c r="Z27" s="13"/>
      <c r="AA27" s="45"/>
      <c r="AB27" s="189"/>
    </row>
    <row r="28" spans="1:28" x14ac:dyDescent="0.4">
      <c r="A28" s="29"/>
      <c r="B28" s="29"/>
      <c r="C28" s="40"/>
      <c r="D28" s="167"/>
      <c r="E28" s="168"/>
      <c r="F28" s="167" t="s">
        <v>45</v>
      </c>
      <c r="G28" s="169"/>
      <c r="H28" s="169"/>
      <c r="I28" s="169"/>
      <c r="J28" s="168"/>
      <c r="K28" s="9" t="s">
        <v>17</v>
      </c>
      <c r="M28" s="170"/>
      <c r="N28" s="171"/>
      <c r="O28" s="171"/>
      <c r="P28" s="172"/>
      <c r="Q28" s="46" t="s">
        <v>45</v>
      </c>
      <c r="R28" s="47"/>
      <c r="S28" s="9" t="s">
        <v>17</v>
      </c>
      <c r="U28" s="173"/>
      <c r="V28" s="173"/>
      <c r="W28" s="173"/>
      <c r="X28" s="173"/>
      <c r="Y28" s="48" t="s">
        <v>45</v>
      </c>
      <c r="Z28" s="9" t="s">
        <v>17</v>
      </c>
      <c r="AA28" s="12"/>
      <c r="AB28" s="189"/>
    </row>
    <row r="29" spans="1:28" x14ac:dyDescent="0.4">
      <c r="B29" s="49" t="s">
        <v>21</v>
      </c>
      <c r="C29" s="28">
        <f>COUNTA(B20:B21)</f>
        <v>0</v>
      </c>
      <c r="D29" s="177" t="s">
        <v>22</v>
      </c>
      <c r="E29" s="178"/>
      <c r="F29" s="177">
        <f>COUNTIF(AB20:AB21,"a’lo")</f>
        <v>0</v>
      </c>
      <c r="G29" s="179"/>
      <c r="H29" s="179"/>
      <c r="I29" s="179"/>
      <c r="J29" s="178"/>
      <c r="K29" s="50">
        <f>IFERROR(F29/C29*100,0)</f>
        <v>0</v>
      </c>
      <c r="M29" s="180" t="s">
        <v>35</v>
      </c>
      <c r="N29" s="181"/>
      <c r="O29" s="181"/>
      <c r="P29" s="182"/>
      <c r="Q29" s="6">
        <f>COUNTIF(AB20:AB21,"o‘rta")</f>
        <v>0</v>
      </c>
      <c r="R29" s="7"/>
      <c r="S29" s="51">
        <f>IFERROR(Q29/C29*100,0)</f>
        <v>0</v>
      </c>
      <c r="U29" s="183" t="s">
        <v>23</v>
      </c>
      <c r="V29" s="183"/>
      <c r="W29" s="183"/>
      <c r="X29" s="183"/>
      <c r="Y29" s="8">
        <f>COUNTIF(AB20:AB21,"kelmadi")</f>
        <v>0</v>
      </c>
      <c r="Z29" s="50">
        <f>IFERROR(Y29/C29*100,0)</f>
        <v>0</v>
      </c>
      <c r="AA29" s="45"/>
      <c r="AB29" s="189"/>
    </row>
    <row r="30" spans="1:28" x14ac:dyDescent="0.4">
      <c r="D30" s="177" t="s">
        <v>24</v>
      </c>
      <c r="E30" s="178"/>
      <c r="F30" s="177">
        <f>COUNTIF(AB20:AB21,"yaxshi")</f>
        <v>0</v>
      </c>
      <c r="G30" s="179"/>
      <c r="H30" s="179"/>
      <c r="I30" s="179"/>
      <c r="J30" s="178"/>
      <c r="K30" s="50">
        <f>IFERROR(F30/C29*100,0)</f>
        <v>0</v>
      </c>
      <c r="M30" s="180" t="s">
        <v>36</v>
      </c>
      <c r="N30" s="181"/>
      <c r="O30" s="181"/>
      <c r="P30" s="182"/>
      <c r="Q30" s="6">
        <f>COUNTIF(AB20:AB21,"qon-siz")</f>
        <v>0</v>
      </c>
      <c r="R30" s="7"/>
      <c r="S30" s="51">
        <f>IFERROR(Q30/C29*100,0)</f>
        <v>0</v>
      </c>
      <c r="U30" s="183" t="s">
        <v>37</v>
      </c>
      <c r="V30" s="183"/>
      <c r="W30" s="183"/>
      <c r="X30" s="183"/>
      <c r="Y30" s="8">
        <f>COUNTIF(AB20:AB21,"qo‘yilmadi")</f>
        <v>0</v>
      </c>
      <c r="Z30" s="50">
        <f>IFERROR(Y30/C29*100,0)</f>
        <v>0</v>
      </c>
      <c r="AA30" s="45"/>
    </row>
    <row r="31" spans="1:28" x14ac:dyDescent="0.4">
      <c r="D31" s="15"/>
      <c r="E31" s="15"/>
      <c r="F31" s="15"/>
      <c r="G31" s="15"/>
      <c r="H31" s="15"/>
      <c r="I31" s="15"/>
      <c r="J31" s="15"/>
      <c r="K31" s="45"/>
      <c r="N31" s="15"/>
      <c r="O31" s="15"/>
      <c r="P31" s="15"/>
      <c r="Q31" s="15"/>
      <c r="R31" s="15"/>
      <c r="S31" s="15"/>
      <c r="T31" s="45"/>
      <c r="W31" s="15"/>
      <c r="X31" s="15"/>
      <c r="Y31" s="15"/>
      <c r="Z31" s="15"/>
    </row>
    <row r="32" spans="1:28" x14ac:dyDescent="0.4">
      <c r="A32" s="39"/>
      <c r="B32" s="27" t="s">
        <v>31</v>
      </c>
      <c r="C32" s="52"/>
      <c r="E32" s="184" t="s">
        <v>38</v>
      </c>
      <c r="F32" s="184"/>
      <c r="G32" s="184"/>
      <c r="H32" s="184"/>
      <c r="I32" s="184"/>
      <c r="J32" s="184"/>
      <c r="K32" s="184"/>
      <c r="Q32" s="185" t="s">
        <v>25</v>
      </c>
      <c r="R32" s="185"/>
      <c r="S32" s="185"/>
      <c r="T32" s="185"/>
      <c r="U32" s="186"/>
      <c r="V32" s="186"/>
      <c r="X32" s="187"/>
      <c r="Y32" s="187"/>
      <c r="Z32" s="187"/>
    </row>
    <row r="33" spans="1:28" x14ac:dyDescent="0.4">
      <c r="A33" s="39"/>
      <c r="B33" s="15" t="s">
        <v>39</v>
      </c>
      <c r="C33" s="4" t="s">
        <v>43</v>
      </c>
      <c r="E33" s="188" t="s">
        <v>27</v>
      </c>
      <c r="F33" s="188"/>
      <c r="G33" s="188"/>
      <c r="H33" s="188"/>
      <c r="I33" s="188"/>
      <c r="J33" s="188"/>
      <c r="K33" s="188"/>
      <c r="U33" s="188" t="s">
        <v>26</v>
      </c>
      <c r="V33" s="188"/>
      <c r="X33" s="188" t="s">
        <v>27</v>
      </c>
      <c r="Y33" s="188"/>
      <c r="Z33" s="188"/>
    </row>
    <row r="47" spans="1:28" s="29" customFormat="1" ht="22.5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s="29" customFormat="1" ht="18.75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s="29" customForma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s="29" customForma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s="29" customFormat="1" ht="15.75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s="29" customForma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8" spans="1:28" ht="25.5" customHeight="1" x14ac:dyDescent="0.4"/>
  </sheetData>
  <mergeCells count="84">
    <mergeCell ref="AB24:AB29"/>
    <mergeCell ref="E32:K32"/>
    <mergeCell ref="Q32:T32"/>
    <mergeCell ref="U32:V32"/>
    <mergeCell ref="X32:Z32"/>
    <mergeCell ref="E33:K33"/>
    <mergeCell ref="U33:V33"/>
    <mergeCell ref="X33:Z33"/>
    <mergeCell ref="D29:E29"/>
    <mergeCell ref="F29:J29"/>
    <mergeCell ref="M29:P29"/>
    <mergeCell ref="U29:X29"/>
    <mergeCell ref="D30:E30"/>
    <mergeCell ref="F30:J30"/>
    <mergeCell ref="M30:P30"/>
    <mergeCell ref="U30:X30"/>
    <mergeCell ref="D28:E28"/>
    <mergeCell ref="F28:J28"/>
    <mergeCell ref="M28:P28"/>
    <mergeCell ref="U28:X28"/>
    <mergeCell ref="Q24:V24"/>
    <mergeCell ref="W24:X24"/>
    <mergeCell ref="D25:E25"/>
    <mergeCell ref="J25:K25"/>
    <mergeCell ref="M25:N25"/>
    <mergeCell ref="Q25:V25"/>
    <mergeCell ref="W25:X25"/>
    <mergeCell ref="D26:E26"/>
    <mergeCell ref="J26:K26"/>
    <mergeCell ref="M26:N26"/>
    <mergeCell ref="Q26:V26"/>
    <mergeCell ref="W26:X26"/>
    <mergeCell ref="AA15:AA19"/>
    <mergeCell ref="AB15:AB19"/>
    <mergeCell ref="D17:E17"/>
    <mergeCell ref="F17:F19"/>
    <mergeCell ref="J17:K17"/>
    <mergeCell ref="L17:L19"/>
    <mergeCell ref="M17:N17"/>
    <mergeCell ref="P17:Q17"/>
    <mergeCell ref="S17:T17"/>
    <mergeCell ref="U17:U19"/>
    <mergeCell ref="V17:W17"/>
    <mergeCell ref="D19:E19"/>
    <mergeCell ref="J19:K19"/>
    <mergeCell ref="M19:N19"/>
    <mergeCell ref="P19:Q19"/>
    <mergeCell ref="S19:T19"/>
    <mergeCell ref="A15:A19"/>
    <mergeCell ref="B15:B19"/>
    <mergeCell ref="C15:C19"/>
    <mergeCell ref="D15:Q16"/>
    <mergeCell ref="N13:Q13"/>
    <mergeCell ref="G17:H17"/>
    <mergeCell ref="G19:H19"/>
    <mergeCell ref="R15:R19"/>
    <mergeCell ref="S15:W16"/>
    <mergeCell ref="X15:X19"/>
    <mergeCell ref="Y15:Y18"/>
    <mergeCell ref="Z15:Z19"/>
    <mergeCell ref="V19:W19"/>
    <mergeCell ref="S13:V13"/>
    <mergeCell ref="A11:B11"/>
    <mergeCell ref="C11:K11"/>
    <mergeCell ref="S11:W11"/>
    <mergeCell ref="X11:AA11"/>
    <mergeCell ref="S12:W12"/>
    <mergeCell ref="X12:AA12"/>
    <mergeCell ref="A13:C13"/>
    <mergeCell ref="C1:AA1"/>
    <mergeCell ref="A1:B1"/>
    <mergeCell ref="X10:AA10"/>
    <mergeCell ref="A7:AB7"/>
    <mergeCell ref="A6:AA6"/>
    <mergeCell ref="A2:AA2"/>
    <mergeCell ref="A3:AA3"/>
    <mergeCell ref="A4:AA4"/>
    <mergeCell ref="A5:AA5"/>
    <mergeCell ref="A8:B8"/>
    <mergeCell ref="C8:K8"/>
    <mergeCell ref="V8:W8"/>
    <mergeCell ref="A10:B10"/>
    <mergeCell ref="C10:K10"/>
    <mergeCell ref="S10:W10"/>
  </mergeCells>
  <dataValidations count="2">
    <dataValidation type="list" allowBlank="1" showInputMessage="1" showErrorMessage="1" sqref="AD1" xr:uid="{00000000-0002-0000-0000-000002000000}">
      <formula1>$AK$1:$AK$2</formula1>
    </dataValidation>
    <dataValidation type="decimal" allowBlank="1" showInputMessage="1" showErrorMessage="1" sqref="S20:S21 J20:J21 M20:M21 D20:D21 G20:G21" xr:uid="{00000000-0002-0000-0000-000001000000}">
      <formula1>0</formula1>
      <formula2>100</formula2>
    </dataValidation>
  </dataValidations>
  <printOptions horizontalCentered="1"/>
  <pageMargins left="0.51181102362204722" right="0.51181102362204722" top="0.55118110236220474" bottom="0.55118110236220474" header="0" footer="0"/>
  <pageSetup paperSize="9" scale="4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vedemost</vt:lpstr>
      <vt:lpstr>vedemost!Область_печати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2025-02-19T15:43:01Z</dcterms:modified>
</cp:coreProperties>
</file>