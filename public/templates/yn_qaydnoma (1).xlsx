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ЭтаКнига" defaultThemeVersion="124226"/>
  <xr:revisionPtr revIDLastSave="0" documentId="13_ncr:1_{16E98105-F229-40D5-8232-11535DEA4B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1_22-01" sheetId="11" r:id="rId1"/>
  </sheets>
  <definedNames>
    <definedName name="_xlnm.Print_Area" localSheetId="0">'d1_22-01'!$A$1:$Y$61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9" i="11" l="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V25" i="11"/>
  <c r="V24" i="11"/>
  <c r="V23" i="11"/>
  <c r="V22" i="11"/>
  <c r="V21" i="11"/>
  <c r="V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20" i="11" l="1"/>
  <c r="Q20" i="11"/>
  <c r="E49" i="11" l="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E20" i="11"/>
  <c r="Y49" i="11" l="1"/>
  <c r="Y48" i="11"/>
  <c r="W47" i="11"/>
  <c r="Y46" i="11"/>
  <c r="Y45" i="11"/>
  <c r="Y44" i="11"/>
  <c r="Y43" i="11"/>
  <c r="Y42" i="11"/>
  <c r="Y41" i="11"/>
  <c r="Y40" i="11"/>
  <c r="Y39" i="11"/>
  <c r="Y38" i="11"/>
  <c r="Y37" i="11"/>
  <c r="W37" i="11"/>
  <c r="Y36" i="11"/>
  <c r="Y35" i="11"/>
  <c r="Y34" i="11"/>
  <c r="Y33" i="11"/>
  <c r="W33" i="11"/>
  <c r="Y32" i="11"/>
  <c r="Y31" i="11"/>
  <c r="Y30" i="11"/>
  <c r="Y29" i="11"/>
  <c r="W29" i="11"/>
  <c r="Y28" i="11"/>
  <c r="W27" i="11"/>
  <c r="Y26" i="11"/>
  <c r="Y25" i="11"/>
  <c r="W25" i="11"/>
  <c r="Y24" i="11"/>
  <c r="Y23" i="11"/>
  <c r="Y22" i="11"/>
  <c r="Y21" i="11"/>
  <c r="W21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W22" i="11" l="1"/>
  <c r="W26" i="11"/>
  <c r="W30" i="11"/>
  <c r="W34" i="11"/>
  <c r="W38" i="11"/>
  <c r="W42" i="11"/>
  <c r="W46" i="11"/>
  <c r="W43" i="11"/>
  <c r="Y47" i="11"/>
  <c r="W23" i="11"/>
  <c r="W31" i="11"/>
  <c r="W35" i="11"/>
  <c r="Y27" i="11"/>
  <c r="W24" i="11"/>
  <c r="W28" i="11"/>
  <c r="W32" i="11"/>
  <c r="W36" i="11"/>
  <c r="W40" i="11"/>
  <c r="W44" i="11"/>
  <c r="W48" i="11"/>
  <c r="W39" i="11"/>
  <c r="W41" i="11"/>
  <c r="W45" i="11"/>
  <c r="W49" i="11"/>
  <c r="M20" i="11" l="1"/>
  <c r="G50" i="11"/>
  <c r="D50" i="11"/>
  <c r="Y20" i="11" l="1"/>
  <c r="V58" i="11" s="1"/>
  <c r="M19" i="11"/>
  <c r="V19" i="11" l="1"/>
  <c r="N47" i="11"/>
  <c r="N37" i="11"/>
  <c r="N21" i="11"/>
  <c r="N33" i="11"/>
  <c r="N28" i="11"/>
  <c r="N44" i="11"/>
  <c r="N43" i="11"/>
  <c r="N48" i="11"/>
  <c r="N22" i="11"/>
  <c r="N42" i="11"/>
  <c r="N27" i="11"/>
  <c r="N32" i="11"/>
  <c r="N26" i="11"/>
  <c r="N41" i="11"/>
  <c r="N36" i="11"/>
  <c r="N31" i="11"/>
  <c r="N25" i="11"/>
  <c r="N40" i="11"/>
  <c r="N46" i="11"/>
  <c r="N30" i="11"/>
  <c r="N35" i="11"/>
  <c r="N39" i="11"/>
  <c r="N24" i="11"/>
  <c r="N29" i="11"/>
  <c r="N45" i="11"/>
  <c r="N49" i="11"/>
  <c r="N34" i="11"/>
  <c r="N38" i="11"/>
  <c r="N23" i="11"/>
  <c r="N20" i="11"/>
  <c r="W20" i="11"/>
  <c r="C57" i="11"/>
  <c r="N50" i="11" l="1"/>
  <c r="W58" i="11"/>
  <c r="V57" i="11"/>
  <c r="W57" i="11" s="1"/>
  <c r="F58" i="11"/>
  <c r="H58" i="11" s="1"/>
  <c r="N58" i="11"/>
  <c r="P58" i="11" s="1"/>
  <c r="F57" i="11"/>
  <c r="N57" i="11"/>
  <c r="P57" i="11" s="1"/>
  <c r="H57" i="11" l="1"/>
  <c r="T54" i="11"/>
  <c r="V54" i="11" s="1"/>
  <c r="T53" i="11"/>
  <c r="V53" i="11" s="1"/>
</calcChain>
</file>

<file path=xl/sharedStrings.xml><?xml version="1.0" encoding="utf-8"?>
<sst xmlns="http://schemas.openxmlformats.org/spreadsheetml/2006/main" count="77" uniqueCount="55">
  <si>
    <t xml:space="preserve">                                                                                            O‘ZBEKISTON RESPUBLIKASI SOG‘LIQNI SAQLASH VAZIRLIGI                                                                                               </t>
  </si>
  <si>
    <t xml:space="preserve">BAHOLASH QAYDNOMASI № </t>
  </si>
  <si>
    <t>Taʼlim yo‘nalishi</t>
  </si>
  <si>
    <t>-</t>
  </si>
  <si>
    <t>kurs</t>
  </si>
  <si>
    <t xml:space="preserve">  semestr</t>
  </si>
  <si>
    <t xml:space="preserve"> - guruh</t>
  </si>
  <si>
    <t>Amaliyot o‘qituvchisi              </t>
  </si>
  <si>
    <t>Maʼruzachi:</t>
  </si>
  <si>
    <t xml:space="preserve"> kredit </t>
  </si>
  <si>
    <t>№</t>
  </si>
  <si>
    <t>YaN</t>
  </si>
  <si>
    <t>O‘zlashtirish ko‘rsatkichi</t>
  </si>
  <si>
    <t>YAN o‘tkazuvchi o‘qituvchi imzosi</t>
  </si>
  <si>
    <t>JN</t>
  </si>
  <si>
    <t>ON</t>
  </si>
  <si>
    <t>OSKE </t>
  </si>
  <si>
    <t>TEST</t>
  </si>
  <si>
    <t>%</t>
  </si>
  <si>
    <t>ball</t>
  </si>
  <si>
    <t>O‘rtacha foiz</t>
  </si>
  <si>
    <t>Guruhning sifat ko‘rsatkichi</t>
  </si>
  <si>
    <t>Jami talabalar soni: </t>
  </si>
  <si>
    <t>A  - “aʼlo”</t>
  </si>
  <si>
    <t>“kelmagan”</t>
  </si>
  <si>
    <t>B  -  “yaxshi”</t>
  </si>
  <si>
    <t xml:space="preserve">Kafedra mudiri </t>
  </si>
  <si>
    <t>imzo</t>
  </si>
  <si>
    <t>F.I.Sh.</t>
  </si>
  <si>
    <t xml:space="preserve">Talabaning familiyasi, ismi-sharifi </t>
  </si>
  <si>
    <t xml:space="preserve">         Davolash ishi</t>
  </si>
  <si>
    <t xml:space="preserve">Fakultet dekani </t>
  </si>
  <si>
    <t>MT</t>
  </si>
  <si>
    <t>ECTS</t>
  </si>
  <si>
    <t>Talabaning ID raqami</t>
  </si>
  <si>
    <t>Semestrda modul (fan)ga ajratilgan umumiy soat    </t>
  </si>
  <si>
    <t xml:space="preserve">  C - “o‘rta”</t>
  </si>
  <si>
    <t>JB</t>
  </si>
  <si>
    <t xml:space="preserve">F - “qoniqarsiz” </t>
  </si>
  <si>
    <t xml:space="preserve">FX - “qo‘yilmadi” </t>
  </si>
  <si>
    <t>M.O‘</t>
  </si>
  <si>
    <t xml:space="preserve"> Fan(modul) nomi </t>
  </si>
  <si>
    <t>JB+MT+ON</t>
  </si>
  <si>
    <t xml:space="preserve">          imzo</t>
  </si>
  <si>
    <t>abc</t>
  </si>
  <si>
    <t>Guruhning o‘zlashtirish ko‘rsatkichi</t>
  </si>
  <si>
    <t>12- shakl</t>
  </si>
  <si>
    <t xml:space="preserve">                   O‘ZBEKISTON RESPUBLIKASI OLIY TA’LIM, FAN VA INNOVATSIYALAR VAZIRLIGI</t>
  </si>
  <si>
    <t>Topshiriqsiz</t>
  </si>
  <si>
    <t>Topshiriq bilan</t>
  </si>
  <si>
    <t>2-SON DAVOLASH FAKULTETI</t>
  </si>
  <si>
    <t>d2/22-01</t>
  </si>
  <si>
    <t>N.J.Sagirayev</t>
  </si>
  <si>
    <t xml:space="preserve"> 2025-2026 o‘quv yili  </t>
  </si>
  <si>
    <t xml:space="preserve">  TOSHKENT DAVLAT TIBBIYOT UNIVERSITETI TERMIZ FILIALI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</si>
</sst>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u/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charset val="204"/>
      <scheme val="minor"/>
    </font>
    <font>
      <sz val="20"/>
      <color rgb="FFFF0000"/>
      <name val="Times New Roman"/>
      <family val="1"/>
    </font>
    <font>
      <sz val="20"/>
      <color theme="0" tint="-0.34998626667073579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184">
    <xf numFmtId="0" fontId="0" fillId="0" borderId="0" xfId="0"/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" fillId="0" borderId="14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1" fontId="1" fillId="2" borderId="21" xfId="0" applyNumberFormat="1" applyFont="1" applyFill="1" applyBorder="1" applyAlignment="1" applyProtection="1">
      <alignment horizontal="center"/>
      <protection hidden="1"/>
    </xf>
    <xf numFmtId="1" fontId="1" fillId="2" borderId="22" xfId="0" applyNumberFormat="1" applyFont="1" applyFill="1" applyBorder="1" applyAlignment="1" applyProtection="1">
      <alignment horizontal="center"/>
      <protection hidden="1"/>
    </xf>
    <xf numFmtId="1" fontId="1" fillId="2" borderId="23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 vertical="center"/>
      <protection hidden="1"/>
    </xf>
    <xf numFmtId="164" fontId="1" fillId="0" borderId="38" xfId="0" applyNumberFormat="1" applyFont="1" applyBorder="1" applyAlignment="1" applyProtection="1">
      <alignment horizontal="center" vertical="center"/>
      <protection hidden="1"/>
    </xf>
    <xf numFmtId="164" fontId="1" fillId="0" borderId="7" xfId="0" applyNumberFormat="1" applyFont="1" applyBorder="1" applyAlignment="1" applyProtection="1">
      <alignment horizontal="center" vertical="center"/>
      <protection hidden="1"/>
    </xf>
    <xf numFmtId="164" fontId="1" fillId="0" borderId="12" xfId="0" applyNumberFormat="1" applyFont="1" applyBorder="1" applyAlignment="1" applyProtection="1">
      <alignment horizontal="center"/>
      <protection hidden="1"/>
    </xf>
    <xf numFmtId="164" fontId="1" fillId="0" borderId="14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Alignment="1" applyProtection="1">
      <alignment horizontal="center" vertical="center"/>
      <protection hidden="1"/>
    </xf>
    <xf numFmtId="164" fontId="1" fillId="0" borderId="17" xfId="0" applyNumberFormat="1" applyFont="1" applyBorder="1" applyAlignment="1" applyProtection="1">
      <alignment horizontal="center"/>
      <protection hidden="1"/>
    </xf>
    <xf numFmtId="164" fontId="1" fillId="2" borderId="0" xfId="0" applyNumberFormat="1" applyFont="1" applyFill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0" fontId="1" fillId="2" borderId="0" xfId="0" applyFont="1" applyFill="1" applyAlignment="1" applyProtection="1">
      <alignment horizontal="right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center" vertical="center"/>
      <protection hidden="1"/>
    </xf>
    <xf numFmtId="1" fontId="2" fillId="2" borderId="37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/>
      <protection hidden="1"/>
    </xf>
    <xf numFmtId="0" fontId="9" fillId="0" borderId="21" xfId="0" applyFont="1" applyBorder="1" applyProtection="1">
      <protection hidden="1"/>
    </xf>
    <xf numFmtId="164" fontId="2" fillId="0" borderId="10" xfId="0" applyNumberFormat="1" applyFont="1" applyBorder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1" fillId="0" borderId="19" xfId="0" applyFont="1" applyBorder="1" applyAlignment="1" applyProtection="1">
      <alignment horizontal="center"/>
      <protection hidden="1"/>
    </xf>
    <xf numFmtId="0" fontId="9" fillId="0" borderId="22" xfId="0" applyFont="1" applyBorder="1" applyProtection="1">
      <protection hidden="1"/>
    </xf>
    <xf numFmtId="164" fontId="2" fillId="0" borderId="13" xfId="0" applyNumberFormat="1" applyFont="1" applyBorder="1" applyAlignment="1" applyProtection="1">
      <alignment horizontal="center"/>
      <protection hidden="1"/>
    </xf>
    <xf numFmtId="0" fontId="1" fillId="0" borderId="20" xfId="0" applyFont="1" applyBorder="1" applyAlignment="1" applyProtection="1">
      <alignment horizontal="center"/>
      <protection hidden="1"/>
    </xf>
    <xf numFmtId="0" fontId="9" fillId="0" borderId="23" xfId="0" applyFont="1" applyBorder="1" applyProtection="1">
      <protection hidden="1"/>
    </xf>
    <xf numFmtId="164" fontId="2" fillId="0" borderId="15" xfId="0" applyNumberFormat="1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 vertical="center"/>
      <protection hidden="1"/>
    </xf>
    <xf numFmtId="0" fontId="2" fillId="0" borderId="26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vertical="center"/>
      <protection hidden="1"/>
    </xf>
    <xf numFmtId="164" fontId="2" fillId="0" borderId="7" xfId="0" applyNumberFormat="1" applyFont="1" applyBorder="1" applyAlignment="1" applyProtection="1">
      <alignment horizontal="center" vertical="center"/>
      <protection hidden="1"/>
    </xf>
    <xf numFmtId="164" fontId="2" fillId="0" borderId="28" xfId="0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Protection="1">
      <protection hidden="1"/>
    </xf>
    <xf numFmtId="164" fontId="2" fillId="0" borderId="39" xfId="0" applyNumberFormat="1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vertical="center"/>
      <protection hidden="1"/>
    </xf>
    <xf numFmtId="164" fontId="2" fillId="2" borderId="26" xfId="0" applyNumberFormat="1" applyFont="1" applyFill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164" fontId="2" fillId="2" borderId="0" xfId="0" applyNumberFormat="1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164" fontId="1" fillId="2" borderId="3" xfId="0" applyNumberFormat="1" applyFont="1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0" fontId="2" fillId="0" borderId="0" xfId="0" applyFont="1" applyAlignment="1" applyProtection="1">
      <alignment horizontal="center" vertical="center"/>
      <protection locked="0" hidden="1"/>
    </xf>
    <xf numFmtId="0" fontId="9" fillId="0" borderId="18" xfId="0" applyFont="1" applyBorder="1" applyAlignment="1" applyProtection="1">
      <alignment horizontal="center"/>
      <protection hidden="1"/>
    </xf>
    <xf numFmtId="0" fontId="9" fillId="0" borderId="19" xfId="0" applyFont="1" applyBorder="1" applyAlignment="1" applyProtection="1">
      <alignment horizontal="center"/>
      <protection hidden="1"/>
    </xf>
    <xf numFmtId="0" fontId="9" fillId="0" borderId="20" xfId="0" applyFont="1" applyBorder="1" applyAlignment="1" applyProtection="1">
      <alignment horizontal="center"/>
      <protection hidden="1"/>
    </xf>
    <xf numFmtId="164" fontId="2" fillId="0" borderId="10" xfId="0" applyNumberFormat="1" applyFont="1" applyBorder="1" applyAlignment="1" applyProtection="1">
      <alignment horizontal="center"/>
      <protection locked="0" hidden="1"/>
    </xf>
    <xf numFmtId="164" fontId="2" fillId="0" borderId="13" xfId="0" applyNumberFormat="1" applyFont="1" applyBorder="1" applyAlignment="1" applyProtection="1">
      <alignment horizontal="center"/>
      <protection locked="0" hidden="1"/>
    </xf>
    <xf numFmtId="164" fontId="2" fillId="0" borderId="15" xfId="0" applyNumberFormat="1" applyFont="1" applyBorder="1" applyAlignment="1" applyProtection="1">
      <alignment horizontal="center"/>
      <protection locked="0" hidden="1"/>
    </xf>
    <xf numFmtId="0" fontId="12" fillId="0" borderId="0" xfId="0" applyFont="1" applyProtection="1">
      <protection hidden="1"/>
    </xf>
    <xf numFmtId="0" fontId="1" fillId="0" borderId="9" xfId="0" applyFont="1" applyBorder="1" applyAlignment="1" applyProtection="1">
      <alignment vertical="center" wrapText="1"/>
      <protection hidden="1"/>
    </xf>
    <xf numFmtId="0" fontId="11" fillId="0" borderId="0" xfId="0" applyFont="1" applyProtection="1">
      <protection locked="0" hidden="1"/>
    </xf>
    <xf numFmtId="9" fontId="1" fillId="0" borderId="12" xfId="2" applyFont="1" applyBorder="1" applyAlignment="1" applyProtection="1">
      <alignment horizontal="center"/>
      <protection hidden="1"/>
    </xf>
    <xf numFmtId="164" fontId="2" fillId="0" borderId="38" xfId="0" applyNumberFormat="1" applyFont="1" applyBorder="1" applyAlignment="1" applyProtection="1">
      <alignment horizontal="center" vertical="center"/>
      <protection hidden="1"/>
    </xf>
    <xf numFmtId="9" fontId="1" fillId="0" borderId="14" xfId="2" applyFont="1" applyBorder="1" applyAlignment="1" applyProtection="1">
      <alignment horizontal="center"/>
      <protection hidden="1"/>
    </xf>
    <xf numFmtId="9" fontId="1" fillId="0" borderId="17" xfId="2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 vertical="top"/>
      <protection hidden="1"/>
    </xf>
    <xf numFmtId="0" fontId="1" fillId="0" borderId="0" xfId="0" applyFont="1" applyAlignment="1" applyProtection="1">
      <alignment vertical="top"/>
      <protection hidden="1"/>
    </xf>
    <xf numFmtId="164" fontId="1" fillId="0" borderId="10" xfId="0" applyNumberFormat="1" applyFont="1" applyBorder="1" applyAlignment="1" applyProtection="1">
      <alignment horizontal="center"/>
      <protection hidden="1"/>
    </xf>
    <xf numFmtId="164" fontId="1" fillId="0" borderId="13" xfId="0" applyNumberFormat="1" applyFont="1" applyBorder="1" applyAlignment="1" applyProtection="1">
      <alignment horizontal="center"/>
      <protection hidden="1"/>
    </xf>
    <xf numFmtId="164" fontId="1" fillId="0" borderId="15" xfId="0" applyNumberFormat="1" applyFont="1" applyBorder="1" applyAlignment="1" applyProtection="1">
      <alignment horizontal="center"/>
      <protection hidden="1"/>
    </xf>
    <xf numFmtId="164" fontId="1" fillId="0" borderId="9" xfId="0" applyNumberFormat="1" applyFont="1" applyBorder="1" applyProtection="1">
      <protection hidden="1"/>
    </xf>
    <xf numFmtId="1" fontId="1" fillId="2" borderId="30" xfId="0" applyNumberFormat="1" applyFont="1" applyFill="1" applyBorder="1" applyAlignment="1" applyProtection="1">
      <alignment horizontal="center"/>
      <protection hidden="1"/>
    </xf>
    <xf numFmtId="164" fontId="1" fillId="0" borderId="0" xfId="0" applyNumberFormat="1" applyFont="1" applyProtection="1">
      <protection hidden="1"/>
    </xf>
    <xf numFmtId="1" fontId="1" fillId="2" borderId="31" xfId="0" applyNumberFormat="1" applyFont="1" applyFill="1" applyBorder="1" applyAlignment="1" applyProtection="1">
      <alignment horizontal="center"/>
      <protection hidden="1"/>
    </xf>
    <xf numFmtId="164" fontId="1" fillId="0" borderId="7" xfId="0" applyNumberFormat="1" applyFont="1" applyBorder="1" applyProtection="1">
      <protection hidden="1"/>
    </xf>
    <xf numFmtId="1" fontId="1" fillId="2" borderId="42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 vertical="center" indent="2"/>
      <protection hidden="1"/>
    </xf>
    <xf numFmtId="0" fontId="2" fillId="0" borderId="1" xfId="0" applyFont="1" applyBorder="1" applyAlignment="1" applyProtection="1">
      <alignment horizontal="left"/>
      <protection locked="0"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2" fillId="2" borderId="0" xfId="0" applyFont="1" applyFill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 vertical="center"/>
      <protection locked="0" hidden="1"/>
    </xf>
    <xf numFmtId="0" fontId="1" fillId="2" borderId="0" xfId="0" applyFont="1" applyFill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left"/>
      <protection locked="0"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2" xfId="0" applyFont="1" applyBorder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right" vertical="center"/>
      <protection hidden="1"/>
    </xf>
    <xf numFmtId="14" fontId="3" fillId="0" borderId="1" xfId="0" applyNumberFormat="1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 applyProtection="1">
      <alignment horizontal="center" vertical="center" wrapText="1"/>
      <protection hidden="1"/>
    </xf>
    <xf numFmtId="0" fontId="2" fillId="0" borderId="22" xfId="0" applyFont="1" applyBorder="1" applyAlignment="1" applyProtection="1">
      <alignment horizontal="center" vertical="center" wrapText="1"/>
      <protection hidden="1"/>
    </xf>
    <xf numFmtId="0" fontId="2" fillId="0" borderId="37" xfId="0" applyFont="1" applyBorder="1" applyAlignment="1" applyProtection="1">
      <alignment horizontal="center" vertical="center" wrapText="1"/>
      <protection hidden="1"/>
    </xf>
    <xf numFmtId="0" fontId="2" fillId="0" borderId="24" xfId="0" applyFont="1" applyBorder="1" applyAlignment="1" applyProtection="1">
      <alignment horizontal="center" vertical="center" wrapText="1"/>
      <protection hidden="1"/>
    </xf>
    <xf numFmtId="0" fontId="2" fillId="0" borderId="25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2" fillId="0" borderId="2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2" borderId="21" xfId="0" applyFont="1" applyFill="1" applyBorder="1" applyAlignment="1" applyProtection="1">
      <alignment horizontal="center" vertical="center" textRotation="90" wrapText="1"/>
      <protection hidden="1"/>
    </xf>
    <xf numFmtId="0" fontId="2" fillId="2" borderId="22" xfId="0" applyFont="1" applyFill="1" applyBorder="1" applyAlignment="1" applyProtection="1">
      <alignment horizontal="center" vertical="center" textRotation="90" wrapText="1"/>
      <protection hidden="1"/>
    </xf>
    <xf numFmtId="0" fontId="2" fillId="2" borderId="24" xfId="0" applyFont="1" applyFill="1" applyBorder="1" applyAlignment="1" applyProtection="1">
      <alignment horizontal="center" vertical="center" textRotation="90" wrapText="1"/>
      <protection hidden="1"/>
    </xf>
    <xf numFmtId="0" fontId="2" fillId="2" borderId="25" xfId="0" applyFont="1" applyFill="1" applyBorder="1" applyAlignment="1" applyProtection="1">
      <alignment horizontal="center" vertical="center" textRotation="90" wrapText="1"/>
      <protection hidden="1"/>
    </xf>
    <xf numFmtId="0" fontId="2" fillId="0" borderId="33" xfId="0" applyFont="1" applyBorder="1" applyAlignment="1" applyProtection="1">
      <alignment horizontal="center" vertical="center" wrapText="1"/>
      <protection hidden="1"/>
    </xf>
    <xf numFmtId="0" fontId="2" fillId="0" borderId="34" xfId="0" applyFont="1" applyBorder="1" applyAlignment="1" applyProtection="1">
      <alignment horizontal="center" vertical="center" wrapText="1"/>
      <protection hidden="1"/>
    </xf>
    <xf numFmtId="0" fontId="2" fillId="0" borderId="30" xfId="0" applyFont="1" applyBorder="1" applyAlignment="1" applyProtection="1">
      <alignment horizontal="center" vertical="center" wrapText="1"/>
      <protection hidden="1"/>
    </xf>
    <xf numFmtId="0" fontId="2" fillId="0" borderId="31" xfId="0" applyFont="1" applyBorder="1" applyAlignment="1" applyProtection="1">
      <alignment horizontal="center" vertical="center" wrapText="1"/>
      <protection hidden="1"/>
    </xf>
    <xf numFmtId="0" fontId="2" fillId="0" borderId="41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/>
      <protection hidden="1"/>
    </xf>
    <xf numFmtId="0" fontId="1" fillId="0" borderId="32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 wrapText="1"/>
      <protection hidden="1"/>
    </xf>
    <xf numFmtId="0" fontId="2" fillId="0" borderId="40" xfId="0" applyFont="1" applyBorder="1" applyAlignment="1" applyProtection="1">
      <alignment horizontal="center" vertical="center" wrapText="1"/>
      <protection hidden="1"/>
    </xf>
    <xf numFmtId="0" fontId="2" fillId="0" borderId="35" xfId="0" applyFont="1" applyBorder="1" applyAlignment="1" applyProtection="1">
      <alignment horizontal="center" vertical="center" wrapText="1"/>
      <protection hidden="1"/>
    </xf>
    <xf numFmtId="1" fontId="2" fillId="0" borderId="36" xfId="0" applyNumberFormat="1" applyFont="1" applyBorder="1" applyAlignment="1" applyProtection="1">
      <alignment horizontal="center" vertical="center" wrapText="1"/>
      <protection hidden="1"/>
    </xf>
    <xf numFmtId="1" fontId="2" fillId="0" borderId="32" xfId="0" applyNumberFormat="1" applyFont="1" applyBorder="1" applyAlignment="1" applyProtection="1">
      <alignment horizontal="center" vertical="center" wrapText="1"/>
      <protection hidden="1"/>
    </xf>
    <xf numFmtId="164" fontId="2" fillId="0" borderId="5" xfId="0" applyNumberFormat="1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0" xfId="0" applyNumberFormat="1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left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6" xfId="0" applyFont="1" applyFill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 hidden="1"/>
    </xf>
    <xf numFmtId="0" fontId="1" fillId="0" borderId="4" xfId="0" applyFont="1" applyBorder="1" applyAlignment="1" applyProtection="1">
      <alignment horizontal="center" vertical="top"/>
      <protection hidden="1"/>
    </xf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25"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EC2F1"/>
        </patternFill>
      </fill>
    </dxf>
    <dxf>
      <fill>
        <patternFill>
          <bgColor rgb="FFFFC1C1"/>
        </patternFill>
      </fill>
    </dxf>
    <dxf>
      <fill>
        <patternFill>
          <bgColor rgb="FFFFFFCC"/>
        </patternFill>
      </fill>
    </dxf>
    <dxf>
      <fill>
        <patternFill>
          <bgColor rgb="FFFEC2F1"/>
        </patternFill>
      </fill>
    </dxf>
    <dxf>
      <fill>
        <patternFill>
          <bgColor rgb="FFFFC1C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EC2F1"/>
        </patternFill>
      </fill>
    </dxf>
    <dxf>
      <fill>
        <patternFill>
          <bgColor rgb="FFFFC1C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EC2F1"/>
        </patternFill>
      </fill>
    </dxf>
    <dxf>
      <fill>
        <patternFill>
          <bgColor rgb="FFFFC1C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rgb="FFFEC2F1"/>
        </patternFill>
      </fill>
    </dxf>
    <dxf>
      <fill>
        <patternFill>
          <bgColor rgb="FFFFC1C1"/>
        </patternFill>
      </fill>
    </dxf>
  </dxfs>
  <tableStyles count="0" defaultTableStyle="TableStyleMedium2" defaultPivotStyle="PivotStyleMedium9"/>
  <colors>
    <mruColors>
      <color rgb="FFFFC1C1"/>
      <color rgb="FFFFB3B3"/>
      <color rgb="FFFF9B9B"/>
      <color rgb="FFDD8269"/>
      <color rgb="FFF0B2EC"/>
      <color rgb="FFF9ADA9"/>
      <color rgb="FFF6AC98"/>
      <color rgb="FFFDD8D3"/>
      <color rgb="FFF97F6F"/>
      <color rgb="FFE5C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H61"/>
  <sheetViews>
    <sheetView tabSelected="1" view="pageBreakPreview" topLeftCell="D1" zoomScale="80" zoomScaleNormal="80" zoomScaleSheetLayoutView="80" workbookViewId="0">
      <selection activeCell="H25" sqref="H25"/>
    </sheetView>
  </sheetViews>
  <sheetFormatPr defaultRowHeight="18" x14ac:dyDescent="0.4"/>
  <cols>
    <col min="1" max="1" width="6.7265625" style="9" customWidth="1"/>
    <col min="2" max="2" width="60.54296875" style="9" bestFit="1" customWidth="1"/>
    <col min="3" max="3" width="19.26953125" style="9" customWidth="1"/>
    <col min="4" max="4" width="9.7265625" style="9" customWidth="1"/>
    <col min="5" max="5" width="9.54296875" style="9" customWidth="1"/>
    <col min="6" max="6" width="2.1796875" style="9" customWidth="1"/>
    <col min="7" max="7" width="8.26953125" style="9" customWidth="1"/>
    <col min="8" max="8" width="8" style="9" customWidth="1"/>
    <col min="9" max="9" width="1.7265625" style="9" customWidth="1"/>
    <col min="10" max="10" width="8.453125" style="9" customWidth="1"/>
    <col min="11" max="11" width="8" style="9" customWidth="1"/>
    <col min="12" max="12" width="1.7265625" style="9" customWidth="1"/>
    <col min="13" max="13" width="10.1796875" style="9" customWidth="1"/>
    <col min="14" max="14" width="9.81640625" style="9" customWidth="1"/>
    <col min="15" max="15" width="1.54296875" style="9" customWidth="1"/>
    <col min="16" max="16" width="9" style="9" customWidth="1"/>
    <col min="17" max="17" width="8.26953125" style="9" customWidth="1"/>
    <col min="18" max="18" width="2.1796875" style="9" customWidth="1"/>
    <col min="19" max="19" width="9.7265625" style="9" customWidth="1"/>
    <col min="20" max="20" width="9" style="9" customWidth="1"/>
    <col min="21" max="21" width="2.1796875" style="9" customWidth="1"/>
    <col min="22" max="22" width="11.1796875" style="9" customWidth="1"/>
    <col min="23" max="23" width="13.81640625" style="9" customWidth="1"/>
    <col min="24" max="24" width="28.81640625" style="9" customWidth="1"/>
    <col min="25" max="25" width="20.7265625" style="9" customWidth="1"/>
    <col min="26" max="26" width="9.1796875" style="9"/>
    <col min="27" max="27" width="25.81640625" style="9" bestFit="1" customWidth="1"/>
    <col min="28" max="255" width="9.1796875" style="9"/>
    <col min="256" max="256" width="5.54296875" style="9" bestFit="1" customWidth="1"/>
    <col min="257" max="257" width="45.81640625" style="9" customWidth="1"/>
    <col min="258" max="258" width="15.26953125" style="9" customWidth="1"/>
    <col min="259" max="259" width="9.81640625" style="9" customWidth="1"/>
    <col min="260" max="260" width="8.7265625" style="9" customWidth="1"/>
    <col min="261" max="261" width="2.1796875" style="9" customWidth="1"/>
    <col min="262" max="263" width="9" style="9" customWidth="1"/>
    <col min="264" max="264" width="2.453125" style="9" customWidth="1"/>
    <col min="265" max="267" width="9" style="9" customWidth="1"/>
    <col min="268" max="268" width="9.81640625" style="9" customWidth="1"/>
    <col min="269" max="269" width="2.26953125" style="9" customWidth="1"/>
    <col min="270" max="271" width="9" style="9" customWidth="1"/>
    <col min="272" max="272" width="2.1796875" style="9" customWidth="1"/>
    <col min="273" max="274" width="9" style="9" customWidth="1"/>
    <col min="275" max="275" width="2.1796875" style="9" customWidth="1"/>
    <col min="276" max="277" width="10.1796875" style="9" customWidth="1"/>
    <col min="278" max="279" width="10.81640625" style="9" customWidth="1"/>
    <col min="280" max="280" width="31.7265625" style="9" customWidth="1"/>
    <col min="281" max="281" width="10.453125" style="9" bestFit="1" customWidth="1"/>
    <col min="282" max="511" width="9.1796875" style="9"/>
    <col min="512" max="512" width="5.54296875" style="9" bestFit="1" customWidth="1"/>
    <col min="513" max="513" width="45.81640625" style="9" customWidth="1"/>
    <col min="514" max="514" width="15.26953125" style="9" customWidth="1"/>
    <col min="515" max="515" width="9.81640625" style="9" customWidth="1"/>
    <col min="516" max="516" width="8.7265625" style="9" customWidth="1"/>
    <col min="517" max="517" width="2.1796875" style="9" customWidth="1"/>
    <col min="518" max="519" width="9" style="9" customWidth="1"/>
    <col min="520" max="520" width="2.453125" style="9" customWidth="1"/>
    <col min="521" max="523" width="9" style="9" customWidth="1"/>
    <col min="524" max="524" width="9.81640625" style="9" customWidth="1"/>
    <col min="525" max="525" width="2.26953125" style="9" customWidth="1"/>
    <col min="526" max="527" width="9" style="9" customWidth="1"/>
    <col min="528" max="528" width="2.1796875" style="9" customWidth="1"/>
    <col min="529" max="530" width="9" style="9" customWidth="1"/>
    <col min="531" max="531" width="2.1796875" style="9" customWidth="1"/>
    <col min="532" max="533" width="10.1796875" style="9" customWidth="1"/>
    <col min="534" max="535" width="10.81640625" style="9" customWidth="1"/>
    <col min="536" max="536" width="31.7265625" style="9" customWidth="1"/>
    <col min="537" max="537" width="10.453125" style="9" bestFit="1" customWidth="1"/>
    <col min="538" max="767" width="9.1796875" style="9"/>
    <col min="768" max="768" width="5.54296875" style="9" bestFit="1" customWidth="1"/>
    <col min="769" max="769" width="45.81640625" style="9" customWidth="1"/>
    <col min="770" max="770" width="15.26953125" style="9" customWidth="1"/>
    <col min="771" max="771" width="9.81640625" style="9" customWidth="1"/>
    <col min="772" max="772" width="8.7265625" style="9" customWidth="1"/>
    <col min="773" max="773" width="2.1796875" style="9" customWidth="1"/>
    <col min="774" max="775" width="9" style="9" customWidth="1"/>
    <col min="776" max="776" width="2.453125" style="9" customWidth="1"/>
    <col min="777" max="779" width="9" style="9" customWidth="1"/>
    <col min="780" max="780" width="9.81640625" style="9" customWidth="1"/>
    <col min="781" max="781" width="2.26953125" style="9" customWidth="1"/>
    <col min="782" max="783" width="9" style="9" customWidth="1"/>
    <col min="784" max="784" width="2.1796875" style="9" customWidth="1"/>
    <col min="785" max="786" width="9" style="9" customWidth="1"/>
    <col min="787" max="787" width="2.1796875" style="9" customWidth="1"/>
    <col min="788" max="789" width="10.1796875" style="9" customWidth="1"/>
    <col min="790" max="791" width="10.81640625" style="9" customWidth="1"/>
    <col min="792" max="792" width="31.7265625" style="9" customWidth="1"/>
    <col min="793" max="793" width="10.453125" style="9" bestFit="1" customWidth="1"/>
    <col min="794" max="1023" width="9.1796875" style="9"/>
    <col min="1024" max="1024" width="5.54296875" style="9" bestFit="1" customWidth="1"/>
    <col min="1025" max="1025" width="45.81640625" style="9" customWidth="1"/>
    <col min="1026" max="1026" width="15.26953125" style="9" customWidth="1"/>
    <col min="1027" max="1027" width="9.81640625" style="9" customWidth="1"/>
    <col min="1028" max="1028" width="8.7265625" style="9" customWidth="1"/>
    <col min="1029" max="1029" width="2.1796875" style="9" customWidth="1"/>
    <col min="1030" max="1031" width="9" style="9" customWidth="1"/>
    <col min="1032" max="1032" width="2.453125" style="9" customWidth="1"/>
    <col min="1033" max="1035" width="9" style="9" customWidth="1"/>
    <col min="1036" max="1036" width="9.81640625" style="9" customWidth="1"/>
    <col min="1037" max="1037" width="2.26953125" style="9" customWidth="1"/>
    <col min="1038" max="1039" width="9" style="9" customWidth="1"/>
    <col min="1040" max="1040" width="2.1796875" style="9" customWidth="1"/>
    <col min="1041" max="1042" width="9" style="9" customWidth="1"/>
    <col min="1043" max="1043" width="2.1796875" style="9" customWidth="1"/>
    <col min="1044" max="1045" width="10.1796875" style="9" customWidth="1"/>
    <col min="1046" max="1047" width="10.81640625" style="9" customWidth="1"/>
    <col min="1048" max="1048" width="31.7265625" style="9" customWidth="1"/>
    <col min="1049" max="1049" width="10.453125" style="9" bestFit="1" customWidth="1"/>
    <col min="1050" max="1279" width="9.1796875" style="9"/>
    <col min="1280" max="1280" width="5.54296875" style="9" bestFit="1" customWidth="1"/>
    <col min="1281" max="1281" width="45.81640625" style="9" customWidth="1"/>
    <col min="1282" max="1282" width="15.26953125" style="9" customWidth="1"/>
    <col min="1283" max="1283" width="9.81640625" style="9" customWidth="1"/>
    <col min="1284" max="1284" width="8.7265625" style="9" customWidth="1"/>
    <col min="1285" max="1285" width="2.1796875" style="9" customWidth="1"/>
    <col min="1286" max="1287" width="9" style="9" customWidth="1"/>
    <col min="1288" max="1288" width="2.453125" style="9" customWidth="1"/>
    <col min="1289" max="1291" width="9" style="9" customWidth="1"/>
    <col min="1292" max="1292" width="9.81640625" style="9" customWidth="1"/>
    <col min="1293" max="1293" width="2.26953125" style="9" customWidth="1"/>
    <col min="1294" max="1295" width="9" style="9" customWidth="1"/>
    <col min="1296" max="1296" width="2.1796875" style="9" customWidth="1"/>
    <col min="1297" max="1298" width="9" style="9" customWidth="1"/>
    <col min="1299" max="1299" width="2.1796875" style="9" customWidth="1"/>
    <col min="1300" max="1301" width="10.1796875" style="9" customWidth="1"/>
    <col min="1302" max="1303" width="10.81640625" style="9" customWidth="1"/>
    <col min="1304" max="1304" width="31.7265625" style="9" customWidth="1"/>
    <col min="1305" max="1305" width="10.453125" style="9" bestFit="1" customWidth="1"/>
    <col min="1306" max="1535" width="9.1796875" style="9"/>
    <col min="1536" max="1536" width="5.54296875" style="9" bestFit="1" customWidth="1"/>
    <col min="1537" max="1537" width="45.81640625" style="9" customWidth="1"/>
    <col min="1538" max="1538" width="15.26953125" style="9" customWidth="1"/>
    <col min="1539" max="1539" width="9.81640625" style="9" customWidth="1"/>
    <col min="1540" max="1540" width="8.7265625" style="9" customWidth="1"/>
    <col min="1541" max="1541" width="2.1796875" style="9" customWidth="1"/>
    <col min="1542" max="1543" width="9" style="9" customWidth="1"/>
    <col min="1544" max="1544" width="2.453125" style="9" customWidth="1"/>
    <col min="1545" max="1547" width="9" style="9" customWidth="1"/>
    <col min="1548" max="1548" width="9.81640625" style="9" customWidth="1"/>
    <col min="1549" max="1549" width="2.26953125" style="9" customWidth="1"/>
    <col min="1550" max="1551" width="9" style="9" customWidth="1"/>
    <col min="1552" max="1552" width="2.1796875" style="9" customWidth="1"/>
    <col min="1553" max="1554" width="9" style="9" customWidth="1"/>
    <col min="1555" max="1555" width="2.1796875" style="9" customWidth="1"/>
    <col min="1556" max="1557" width="10.1796875" style="9" customWidth="1"/>
    <col min="1558" max="1559" width="10.81640625" style="9" customWidth="1"/>
    <col min="1560" max="1560" width="31.7265625" style="9" customWidth="1"/>
    <col min="1561" max="1561" width="10.453125" style="9" bestFit="1" customWidth="1"/>
    <col min="1562" max="1791" width="9.1796875" style="9"/>
    <col min="1792" max="1792" width="5.54296875" style="9" bestFit="1" customWidth="1"/>
    <col min="1793" max="1793" width="45.81640625" style="9" customWidth="1"/>
    <col min="1794" max="1794" width="15.26953125" style="9" customWidth="1"/>
    <col min="1795" max="1795" width="9.81640625" style="9" customWidth="1"/>
    <col min="1796" max="1796" width="8.7265625" style="9" customWidth="1"/>
    <col min="1797" max="1797" width="2.1796875" style="9" customWidth="1"/>
    <col min="1798" max="1799" width="9" style="9" customWidth="1"/>
    <col min="1800" max="1800" width="2.453125" style="9" customWidth="1"/>
    <col min="1801" max="1803" width="9" style="9" customWidth="1"/>
    <col min="1804" max="1804" width="9.81640625" style="9" customWidth="1"/>
    <col min="1805" max="1805" width="2.26953125" style="9" customWidth="1"/>
    <col min="1806" max="1807" width="9" style="9" customWidth="1"/>
    <col min="1808" max="1808" width="2.1796875" style="9" customWidth="1"/>
    <col min="1809" max="1810" width="9" style="9" customWidth="1"/>
    <col min="1811" max="1811" width="2.1796875" style="9" customWidth="1"/>
    <col min="1812" max="1813" width="10.1796875" style="9" customWidth="1"/>
    <col min="1814" max="1815" width="10.81640625" style="9" customWidth="1"/>
    <col min="1816" max="1816" width="31.7265625" style="9" customWidth="1"/>
    <col min="1817" max="1817" width="10.453125" style="9" bestFit="1" customWidth="1"/>
    <col min="1818" max="2047" width="9.1796875" style="9"/>
    <col min="2048" max="2048" width="5.54296875" style="9" bestFit="1" customWidth="1"/>
    <col min="2049" max="2049" width="45.81640625" style="9" customWidth="1"/>
    <col min="2050" max="2050" width="15.26953125" style="9" customWidth="1"/>
    <col min="2051" max="2051" width="9.81640625" style="9" customWidth="1"/>
    <col min="2052" max="2052" width="8.7265625" style="9" customWidth="1"/>
    <col min="2053" max="2053" width="2.1796875" style="9" customWidth="1"/>
    <col min="2054" max="2055" width="9" style="9" customWidth="1"/>
    <col min="2056" max="2056" width="2.453125" style="9" customWidth="1"/>
    <col min="2057" max="2059" width="9" style="9" customWidth="1"/>
    <col min="2060" max="2060" width="9.81640625" style="9" customWidth="1"/>
    <col min="2061" max="2061" width="2.26953125" style="9" customWidth="1"/>
    <col min="2062" max="2063" width="9" style="9" customWidth="1"/>
    <col min="2064" max="2064" width="2.1796875" style="9" customWidth="1"/>
    <col min="2065" max="2066" width="9" style="9" customWidth="1"/>
    <col min="2067" max="2067" width="2.1796875" style="9" customWidth="1"/>
    <col min="2068" max="2069" width="10.1796875" style="9" customWidth="1"/>
    <col min="2070" max="2071" width="10.81640625" style="9" customWidth="1"/>
    <col min="2072" max="2072" width="31.7265625" style="9" customWidth="1"/>
    <col min="2073" max="2073" width="10.453125" style="9" bestFit="1" customWidth="1"/>
    <col min="2074" max="2303" width="9.1796875" style="9"/>
    <col min="2304" max="2304" width="5.54296875" style="9" bestFit="1" customWidth="1"/>
    <col min="2305" max="2305" width="45.81640625" style="9" customWidth="1"/>
    <col min="2306" max="2306" width="15.26953125" style="9" customWidth="1"/>
    <col min="2307" max="2307" width="9.81640625" style="9" customWidth="1"/>
    <col min="2308" max="2308" width="8.7265625" style="9" customWidth="1"/>
    <col min="2309" max="2309" width="2.1796875" style="9" customWidth="1"/>
    <col min="2310" max="2311" width="9" style="9" customWidth="1"/>
    <col min="2312" max="2312" width="2.453125" style="9" customWidth="1"/>
    <col min="2313" max="2315" width="9" style="9" customWidth="1"/>
    <col min="2316" max="2316" width="9.81640625" style="9" customWidth="1"/>
    <col min="2317" max="2317" width="2.26953125" style="9" customWidth="1"/>
    <col min="2318" max="2319" width="9" style="9" customWidth="1"/>
    <col min="2320" max="2320" width="2.1796875" style="9" customWidth="1"/>
    <col min="2321" max="2322" width="9" style="9" customWidth="1"/>
    <col min="2323" max="2323" width="2.1796875" style="9" customWidth="1"/>
    <col min="2324" max="2325" width="10.1796875" style="9" customWidth="1"/>
    <col min="2326" max="2327" width="10.81640625" style="9" customWidth="1"/>
    <col min="2328" max="2328" width="31.7265625" style="9" customWidth="1"/>
    <col min="2329" max="2329" width="10.453125" style="9" bestFit="1" customWidth="1"/>
    <col min="2330" max="2559" width="9.1796875" style="9"/>
    <col min="2560" max="2560" width="5.54296875" style="9" bestFit="1" customWidth="1"/>
    <col min="2561" max="2561" width="45.81640625" style="9" customWidth="1"/>
    <col min="2562" max="2562" width="15.26953125" style="9" customWidth="1"/>
    <col min="2563" max="2563" width="9.81640625" style="9" customWidth="1"/>
    <col min="2564" max="2564" width="8.7265625" style="9" customWidth="1"/>
    <col min="2565" max="2565" width="2.1796875" style="9" customWidth="1"/>
    <col min="2566" max="2567" width="9" style="9" customWidth="1"/>
    <col min="2568" max="2568" width="2.453125" style="9" customWidth="1"/>
    <col min="2569" max="2571" width="9" style="9" customWidth="1"/>
    <col min="2572" max="2572" width="9.81640625" style="9" customWidth="1"/>
    <col min="2573" max="2573" width="2.26953125" style="9" customWidth="1"/>
    <col min="2574" max="2575" width="9" style="9" customWidth="1"/>
    <col min="2576" max="2576" width="2.1796875" style="9" customWidth="1"/>
    <col min="2577" max="2578" width="9" style="9" customWidth="1"/>
    <col min="2579" max="2579" width="2.1796875" style="9" customWidth="1"/>
    <col min="2580" max="2581" width="10.1796875" style="9" customWidth="1"/>
    <col min="2582" max="2583" width="10.81640625" style="9" customWidth="1"/>
    <col min="2584" max="2584" width="31.7265625" style="9" customWidth="1"/>
    <col min="2585" max="2585" width="10.453125" style="9" bestFit="1" customWidth="1"/>
    <col min="2586" max="2815" width="9.1796875" style="9"/>
    <col min="2816" max="2816" width="5.54296875" style="9" bestFit="1" customWidth="1"/>
    <col min="2817" max="2817" width="45.81640625" style="9" customWidth="1"/>
    <col min="2818" max="2818" width="15.26953125" style="9" customWidth="1"/>
    <col min="2819" max="2819" width="9.81640625" style="9" customWidth="1"/>
    <col min="2820" max="2820" width="8.7265625" style="9" customWidth="1"/>
    <col min="2821" max="2821" width="2.1796875" style="9" customWidth="1"/>
    <col min="2822" max="2823" width="9" style="9" customWidth="1"/>
    <col min="2824" max="2824" width="2.453125" style="9" customWidth="1"/>
    <col min="2825" max="2827" width="9" style="9" customWidth="1"/>
    <col min="2828" max="2828" width="9.81640625" style="9" customWidth="1"/>
    <col min="2829" max="2829" width="2.26953125" style="9" customWidth="1"/>
    <col min="2830" max="2831" width="9" style="9" customWidth="1"/>
    <col min="2832" max="2832" width="2.1796875" style="9" customWidth="1"/>
    <col min="2833" max="2834" width="9" style="9" customWidth="1"/>
    <col min="2835" max="2835" width="2.1796875" style="9" customWidth="1"/>
    <col min="2836" max="2837" width="10.1796875" style="9" customWidth="1"/>
    <col min="2838" max="2839" width="10.81640625" style="9" customWidth="1"/>
    <col min="2840" max="2840" width="31.7265625" style="9" customWidth="1"/>
    <col min="2841" max="2841" width="10.453125" style="9" bestFit="1" customWidth="1"/>
    <col min="2842" max="3071" width="9.1796875" style="9"/>
    <col min="3072" max="3072" width="5.54296875" style="9" bestFit="1" customWidth="1"/>
    <col min="3073" max="3073" width="45.81640625" style="9" customWidth="1"/>
    <col min="3074" max="3074" width="15.26953125" style="9" customWidth="1"/>
    <col min="3075" max="3075" width="9.81640625" style="9" customWidth="1"/>
    <col min="3076" max="3076" width="8.7265625" style="9" customWidth="1"/>
    <col min="3077" max="3077" width="2.1796875" style="9" customWidth="1"/>
    <col min="3078" max="3079" width="9" style="9" customWidth="1"/>
    <col min="3080" max="3080" width="2.453125" style="9" customWidth="1"/>
    <col min="3081" max="3083" width="9" style="9" customWidth="1"/>
    <col min="3084" max="3084" width="9.81640625" style="9" customWidth="1"/>
    <col min="3085" max="3085" width="2.26953125" style="9" customWidth="1"/>
    <col min="3086" max="3087" width="9" style="9" customWidth="1"/>
    <col min="3088" max="3088" width="2.1796875" style="9" customWidth="1"/>
    <col min="3089" max="3090" width="9" style="9" customWidth="1"/>
    <col min="3091" max="3091" width="2.1796875" style="9" customWidth="1"/>
    <col min="3092" max="3093" width="10.1796875" style="9" customWidth="1"/>
    <col min="3094" max="3095" width="10.81640625" style="9" customWidth="1"/>
    <col min="3096" max="3096" width="31.7265625" style="9" customWidth="1"/>
    <col min="3097" max="3097" width="10.453125" style="9" bestFit="1" customWidth="1"/>
    <col min="3098" max="3327" width="9.1796875" style="9"/>
    <col min="3328" max="3328" width="5.54296875" style="9" bestFit="1" customWidth="1"/>
    <col min="3329" max="3329" width="45.81640625" style="9" customWidth="1"/>
    <col min="3330" max="3330" width="15.26953125" style="9" customWidth="1"/>
    <col min="3331" max="3331" width="9.81640625" style="9" customWidth="1"/>
    <col min="3332" max="3332" width="8.7265625" style="9" customWidth="1"/>
    <col min="3333" max="3333" width="2.1796875" style="9" customWidth="1"/>
    <col min="3334" max="3335" width="9" style="9" customWidth="1"/>
    <col min="3336" max="3336" width="2.453125" style="9" customWidth="1"/>
    <col min="3337" max="3339" width="9" style="9" customWidth="1"/>
    <col min="3340" max="3340" width="9.81640625" style="9" customWidth="1"/>
    <col min="3341" max="3341" width="2.26953125" style="9" customWidth="1"/>
    <col min="3342" max="3343" width="9" style="9" customWidth="1"/>
    <col min="3344" max="3344" width="2.1796875" style="9" customWidth="1"/>
    <col min="3345" max="3346" width="9" style="9" customWidth="1"/>
    <col min="3347" max="3347" width="2.1796875" style="9" customWidth="1"/>
    <col min="3348" max="3349" width="10.1796875" style="9" customWidth="1"/>
    <col min="3350" max="3351" width="10.81640625" style="9" customWidth="1"/>
    <col min="3352" max="3352" width="31.7265625" style="9" customWidth="1"/>
    <col min="3353" max="3353" width="10.453125" style="9" bestFit="1" customWidth="1"/>
    <col min="3354" max="3583" width="9.1796875" style="9"/>
    <col min="3584" max="3584" width="5.54296875" style="9" bestFit="1" customWidth="1"/>
    <col min="3585" max="3585" width="45.81640625" style="9" customWidth="1"/>
    <col min="3586" max="3586" width="15.26953125" style="9" customWidth="1"/>
    <col min="3587" max="3587" width="9.81640625" style="9" customWidth="1"/>
    <col min="3588" max="3588" width="8.7265625" style="9" customWidth="1"/>
    <col min="3589" max="3589" width="2.1796875" style="9" customWidth="1"/>
    <col min="3590" max="3591" width="9" style="9" customWidth="1"/>
    <col min="3592" max="3592" width="2.453125" style="9" customWidth="1"/>
    <col min="3593" max="3595" width="9" style="9" customWidth="1"/>
    <col min="3596" max="3596" width="9.81640625" style="9" customWidth="1"/>
    <col min="3597" max="3597" width="2.26953125" style="9" customWidth="1"/>
    <col min="3598" max="3599" width="9" style="9" customWidth="1"/>
    <col min="3600" max="3600" width="2.1796875" style="9" customWidth="1"/>
    <col min="3601" max="3602" width="9" style="9" customWidth="1"/>
    <col min="3603" max="3603" width="2.1796875" style="9" customWidth="1"/>
    <col min="3604" max="3605" width="10.1796875" style="9" customWidth="1"/>
    <col min="3606" max="3607" width="10.81640625" style="9" customWidth="1"/>
    <col min="3608" max="3608" width="31.7265625" style="9" customWidth="1"/>
    <col min="3609" max="3609" width="10.453125" style="9" bestFit="1" customWidth="1"/>
    <col min="3610" max="3839" width="9.1796875" style="9"/>
    <col min="3840" max="3840" width="5.54296875" style="9" bestFit="1" customWidth="1"/>
    <col min="3841" max="3841" width="45.81640625" style="9" customWidth="1"/>
    <col min="3842" max="3842" width="15.26953125" style="9" customWidth="1"/>
    <col min="3843" max="3843" width="9.81640625" style="9" customWidth="1"/>
    <col min="3844" max="3844" width="8.7265625" style="9" customWidth="1"/>
    <col min="3845" max="3845" width="2.1796875" style="9" customWidth="1"/>
    <col min="3846" max="3847" width="9" style="9" customWidth="1"/>
    <col min="3848" max="3848" width="2.453125" style="9" customWidth="1"/>
    <col min="3849" max="3851" width="9" style="9" customWidth="1"/>
    <col min="3852" max="3852" width="9.81640625" style="9" customWidth="1"/>
    <col min="3853" max="3853" width="2.26953125" style="9" customWidth="1"/>
    <col min="3854" max="3855" width="9" style="9" customWidth="1"/>
    <col min="3856" max="3856" width="2.1796875" style="9" customWidth="1"/>
    <col min="3857" max="3858" width="9" style="9" customWidth="1"/>
    <col min="3859" max="3859" width="2.1796875" style="9" customWidth="1"/>
    <col min="3860" max="3861" width="10.1796875" style="9" customWidth="1"/>
    <col min="3862" max="3863" width="10.81640625" style="9" customWidth="1"/>
    <col min="3864" max="3864" width="31.7265625" style="9" customWidth="1"/>
    <col min="3865" max="3865" width="10.453125" style="9" bestFit="1" customWidth="1"/>
    <col min="3866" max="4095" width="9.1796875" style="9"/>
    <col min="4096" max="4096" width="5.54296875" style="9" bestFit="1" customWidth="1"/>
    <col min="4097" max="4097" width="45.81640625" style="9" customWidth="1"/>
    <col min="4098" max="4098" width="15.26953125" style="9" customWidth="1"/>
    <col min="4099" max="4099" width="9.81640625" style="9" customWidth="1"/>
    <col min="4100" max="4100" width="8.7265625" style="9" customWidth="1"/>
    <col min="4101" max="4101" width="2.1796875" style="9" customWidth="1"/>
    <col min="4102" max="4103" width="9" style="9" customWidth="1"/>
    <col min="4104" max="4104" width="2.453125" style="9" customWidth="1"/>
    <col min="4105" max="4107" width="9" style="9" customWidth="1"/>
    <col min="4108" max="4108" width="9.81640625" style="9" customWidth="1"/>
    <col min="4109" max="4109" width="2.26953125" style="9" customWidth="1"/>
    <col min="4110" max="4111" width="9" style="9" customWidth="1"/>
    <col min="4112" max="4112" width="2.1796875" style="9" customWidth="1"/>
    <col min="4113" max="4114" width="9" style="9" customWidth="1"/>
    <col min="4115" max="4115" width="2.1796875" style="9" customWidth="1"/>
    <col min="4116" max="4117" width="10.1796875" style="9" customWidth="1"/>
    <col min="4118" max="4119" width="10.81640625" style="9" customWidth="1"/>
    <col min="4120" max="4120" width="31.7265625" style="9" customWidth="1"/>
    <col min="4121" max="4121" width="10.453125" style="9" bestFit="1" customWidth="1"/>
    <col min="4122" max="4351" width="9.1796875" style="9"/>
    <col min="4352" max="4352" width="5.54296875" style="9" bestFit="1" customWidth="1"/>
    <col min="4353" max="4353" width="45.81640625" style="9" customWidth="1"/>
    <col min="4354" max="4354" width="15.26953125" style="9" customWidth="1"/>
    <col min="4355" max="4355" width="9.81640625" style="9" customWidth="1"/>
    <col min="4356" max="4356" width="8.7265625" style="9" customWidth="1"/>
    <col min="4357" max="4357" width="2.1796875" style="9" customWidth="1"/>
    <col min="4358" max="4359" width="9" style="9" customWidth="1"/>
    <col min="4360" max="4360" width="2.453125" style="9" customWidth="1"/>
    <col min="4361" max="4363" width="9" style="9" customWidth="1"/>
    <col min="4364" max="4364" width="9.81640625" style="9" customWidth="1"/>
    <col min="4365" max="4365" width="2.26953125" style="9" customWidth="1"/>
    <col min="4366" max="4367" width="9" style="9" customWidth="1"/>
    <col min="4368" max="4368" width="2.1796875" style="9" customWidth="1"/>
    <col min="4369" max="4370" width="9" style="9" customWidth="1"/>
    <col min="4371" max="4371" width="2.1796875" style="9" customWidth="1"/>
    <col min="4372" max="4373" width="10.1796875" style="9" customWidth="1"/>
    <col min="4374" max="4375" width="10.81640625" style="9" customWidth="1"/>
    <col min="4376" max="4376" width="31.7265625" style="9" customWidth="1"/>
    <col min="4377" max="4377" width="10.453125" style="9" bestFit="1" customWidth="1"/>
    <col min="4378" max="4607" width="9.1796875" style="9"/>
    <col min="4608" max="4608" width="5.54296875" style="9" bestFit="1" customWidth="1"/>
    <col min="4609" max="4609" width="45.81640625" style="9" customWidth="1"/>
    <col min="4610" max="4610" width="15.26953125" style="9" customWidth="1"/>
    <col min="4611" max="4611" width="9.81640625" style="9" customWidth="1"/>
    <col min="4612" max="4612" width="8.7265625" style="9" customWidth="1"/>
    <col min="4613" max="4613" width="2.1796875" style="9" customWidth="1"/>
    <col min="4614" max="4615" width="9" style="9" customWidth="1"/>
    <col min="4616" max="4616" width="2.453125" style="9" customWidth="1"/>
    <col min="4617" max="4619" width="9" style="9" customWidth="1"/>
    <col min="4620" max="4620" width="9.81640625" style="9" customWidth="1"/>
    <col min="4621" max="4621" width="2.26953125" style="9" customWidth="1"/>
    <col min="4622" max="4623" width="9" style="9" customWidth="1"/>
    <col min="4624" max="4624" width="2.1796875" style="9" customWidth="1"/>
    <col min="4625" max="4626" width="9" style="9" customWidth="1"/>
    <col min="4627" max="4627" width="2.1796875" style="9" customWidth="1"/>
    <col min="4628" max="4629" width="10.1796875" style="9" customWidth="1"/>
    <col min="4630" max="4631" width="10.81640625" style="9" customWidth="1"/>
    <col min="4632" max="4632" width="31.7265625" style="9" customWidth="1"/>
    <col min="4633" max="4633" width="10.453125" style="9" bestFit="1" customWidth="1"/>
    <col min="4634" max="4863" width="9.1796875" style="9"/>
    <col min="4864" max="4864" width="5.54296875" style="9" bestFit="1" customWidth="1"/>
    <col min="4865" max="4865" width="45.81640625" style="9" customWidth="1"/>
    <col min="4866" max="4866" width="15.26953125" style="9" customWidth="1"/>
    <col min="4867" max="4867" width="9.81640625" style="9" customWidth="1"/>
    <col min="4868" max="4868" width="8.7265625" style="9" customWidth="1"/>
    <col min="4869" max="4869" width="2.1796875" style="9" customWidth="1"/>
    <col min="4870" max="4871" width="9" style="9" customWidth="1"/>
    <col min="4872" max="4872" width="2.453125" style="9" customWidth="1"/>
    <col min="4873" max="4875" width="9" style="9" customWidth="1"/>
    <col min="4876" max="4876" width="9.81640625" style="9" customWidth="1"/>
    <col min="4877" max="4877" width="2.26953125" style="9" customWidth="1"/>
    <col min="4878" max="4879" width="9" style="9" customWidth="1"/>
    <col min="4880" max="4880" width="2.1796875" style="9" customWidth="1"/>
    <col min="4881" max="4882" width="9" style="9" customWidth="1"/>
    <col min="4883" max="4883" width="2.1796875" style="9" customWidth="1"/>
    <col min="4884" max="4885" width="10.1796875" style="9" customWidth="1"/>
    <col min="4886" max="4887" width="10.81640625" style="9" customWidth="1"/>
    <col min="4888" max="4888" width="31.7265625" style="9" customWidth="1"/>
    <col min="4889" max="4889" width="10.453125" style="9" bestFit="1" customWidth="1"/>
    <col min="4890" max="5119" width="9.1796875" style="9"/>
    <col min="5120" max="5120" width="5.54296875" style="9" bestFit="1" customWidth="1"/>
    <col min="5121" max="5121" width="45.81640625" style="9" customWidth="1"/>
    <col min="5122" max="5122" width="15.26953125" style="9" customWidth="1"/>
    <col min="5123" max="5123" width="9.81640625" style="9" customWidth="1"/>
    <col min="5124" max="5124" width="8.7265625" style="9" customWidth="1"/>
    <col min="5125" max="5125" width="2.1796875" style="9" customWidth="1"/>
    <col min="5126" max="5127" width="9" style="9" customWidth="1"/>
    <col min="5128" max="5128" width="2.453125" style="9" customWidth="1"/>
    <col min="5129" max="5131" width="9" style="9" customWidth="1"/>
    <col min="5132" max="5132" width="9.81640625" style="9" customWidth="1"/>
    <col min="5133" max="5133" width="2.26953125" style="9" customWidth="1"/>
    <col min="5134" max="5135" width="9" style="9" customWidth="1"/>
    <col min="5136" max="5136" width="2.1796875" style="9" customWidth="1"/>
    <col min="5137" max="5138" width="9" style="9" customWidth="1"/>
    <col min="5139" max="5139" width="2.1796875" style="9" customWidth="1"/>
    <col min="5140" max="5141" width="10.1796875" style="9" customWidth="1"/>
    <col min="5142" max="5143" width="10.81640625" style="9" customWidth="1"/>
    <col min="5144" max="5144" width="31.7265625" style="9" customWidth="1"/>
    <col min="5145" max="5145" width="10.453125" style="9" bestFit="1" customWidth="1"/>
    <col min="5146" max="5375" width="9.1796875" style="9"/>
    <col min="5376" max="5376" width="5.54296875" style="9" bestFit="1" customWidth="1"/>
    <col min="5377" max="5377" width="45.81640625" style="9" customWidth="1"/>
    <col min="5378" max="5378" width="15.26953125" style="9" customWidth="1"/>
    <col min="5379" max="5379" width="9.81640625" style="9" customWidth="1"/>
    <col min="5380" max="5380" width="8.7265625" style="9" customWidth="1"/>
    <col min="5381" max="5381" width="2.1796875" style="9" customWidth="1"/>
    <col min="5382" max="5383" width="9" style="9" customWidth="1"/>
    <col min="5384" max="5384" width="2.453125" style="9" customWidth="1"/>
    <col min="5385" max="5387" width="9" style="9" customWidth="1"/>
    <col min="5388" max="5388" width="9.81640625" style="9" customWidth="1"/>
    <col min="5389" max="5389" width="2.26953125" style="9" customWidth="1"/>
    <col min="5390" max="5391" width="9" style="9" customWidth="1"/>
    <col min="5392" max="5392" width="2.1796875" style="9" customWidth="1"/>
    <col min="5393" max="5394" width="9" style="9" customWidth="1"/>
    <col min="5395" max="5395" width="2.1796875" style="9" customWidth="1"/>
    <col min="5396" max="5397" width="10.1796875" style="9" customWidth="1"/>
    <col min="5398" max="5399" width="10.81640625" style="9" customWidth="1"/>
    <col min="5400" max="5400" width="31.7265625" style="9" customWidth="1"/>
    <col min="5401" max="5401" width="10.453125" style="9" bestFit="1" customWidth="1"/>
    <col min="5402" max="5631" width="9.1796875" style="9"/>
    <col min="5632" max="5632" width="5.54296875" style="9" bestFit="1" customWidth="1"/>
    <col min="5633" max="5633" width="45.81640625" style="9" customWidth="1"/>
    <col min="5634" max="5634" width="15.26953125" style="9" customWidth="1"/>
    <col min="5635" max="5635" width="9.81640625" style="9" customWidth="1"/>
    <col min="5636" max="5636" width="8.7265625" style="9" customWidth="1"/>
    <col min="5637" max="5637" width="2.1796875" style="9" customWidth="1"/>
    <col min="5638" max="5639" width="9" style="9" customWidth="1"/>
    <col min="5640" max="5640" width="2.453125" style="9" customWidth="1"/>
    <col min="5641" max="5643" width="9" style="9" customWidth="1"/>
    <col min="5644" max="5644" width="9.81640625" style="9" customWidth="1"/>
    <col min="5645" max="5645" width="2.26953125" style="9" customWidth="1"/>
    <col min="5646" max="5647" width="9" style="9" customWidth="1"/>
    <col min="5648" max="5648" width="2.1796875" style="9" customWidth="1"/>
    <col min="5649" max="5650" width="9" style="9" customWidth="1"/>
    <col min="5651" max="5651" width="2.1796875" style="9" customWidth="1"/>
    <col min="5652" max="5653" width="10.1796875" style="9" customWidth="1"/>
    <col min="5654" max="5655" width="10.81640625" style="9" customWidth="1"/>
    <col min="5656" max="5656" width="31.7265625" style="9" customWidth="1"/>
    <col min="5657" max="5657" width="10.453125" style="9" bestFit="1" customWidth="1"/>
    <col min="5658" max="5887" width="9.1796875" style="9"/>
    <col min="5888" max="5888" width="5.54296875" style="9" bestFit="1" customWidth="1"/>
    <col min="5889" max="5889" width="45.81640625" style="9" customWidth="1"/>
    <col min="5890" max="5890" width="15.26953125" style="9" customWidth="1"/>
    <col min="5891" max="5891" width="9.81640625" style="9" customWidth="1"/>
    <col min="5892" max="5892" width="8.7265625" style="9" customWidth="1"/>
    <col min="5893" max="5893" width="2.1796875" style="9" customWidth="1"/>
    <col min="5894" max="5895" width="9" style="9" customWidth="1"/>
    <col min="5896" max="5896" width="2.453125" style="9" customWidth="1"/>
    <col min="5897" max="5899" width="9" style="9" customWidth="1"/>
    <col min="5900" max="5900" width="9.81640625" style="9" customWidth="1"/>
    <col min="5901" max="5901" width="2.26953125" style="9" customWidth="1"/>
    <col min="5902" max="5903" width="9" style="9" customWidth="1"/>
    <col min="5904" max="5904" width="2.1796875" style="9" customWidth="1"/>
    <col min="5905" max="5906" width="9" style="9" customWidth="1"/>
    <col min="5907" max="5907" width="2.1796875" style="9" customWidth="1"/>
    <col min="5908" max="5909" width="10.1796875" style="9" customWidth="1"/>
    <col min="5910" max="5911" width="10.81640625" style="9" customWidth="1"/>
    <col min="5912" max="5912" width="31.7265625" style="9" customWidth="1"/>
    <col min="5913" max="5913" width="10.453125" style="9" bestFit="1" customWidth="1"/>
    <col min="5914" max="6143" width="9.1796875" style="9"/>
    <col min="6144" max="6144" width="5.54296875" style="9" bestFit="1" customWidth="1"/>
    <col min="6145" max="6145" width="45.81640625" style="9" customWidth="1"/>
    <col min="6146" max="6146" width="15.26953125" style="9" customWidth="1"/>
    <col min="6147" max="6147" width="9.81640625" style="9" customWidth="1"/>
    <col min="6148" max="6148" width="8.7265625" style="9" customWidth="1"/>
    <col min="6149" max="6149" width="2.1796875" style="9" customWidth="1"/>
    <col min="6150" max="6151" width="9" style="9" customWidth="1"/>
    <col min="6152" max="6152" width="2.453125" style="9" customWidth="1"/>
    <col min="6153" max="6155" width="9" style="9" customWidth="1"/>
    <col min="6156" max="6156" width="9.81640625" style="9" customWidth="1"/>
    <col min="6157" max="6157" width="2.26953125" style="9" customWidth="1"/>
    <col min="6158" max="6159" width="9" style="9" customWidth="1"/>
    <col min="6160" max="6160" width="2.1796875" style="9" customWidth="1"/>
    <col min="6161" max="6162" width="9" style="9" customWidth="1"/>
    <col min="6163" max="6163" width="2.1796875" style="9" customWidth="1"/>
    <col min="6164" max="6165" width="10.1796875" style="9" customWidth="1"/>
    <col min="6166" max="6167" width="10.81640625" style="9" customWidth="1"/>
    <col min="6168" max="6168" width="31.7265625" style="9" customWidth="1"/>
    <col min="6169" max="6169" width="10.453125" style="9" bestFit="1" customWidth="1"/>
    <col min="6170" max="6399" width="9.1796875" style="9"/>
    <col min="6400" max="6400" width="5.54296875" style="9" bestFit="1" customWidth="1"/>
    <col min="6401" max="6401" width="45.81640625" style="9" customWidth="1"/>
    <col min="6402" max="6402" width="15.26953125" style="9" customWidth="1"/>
    <col min="6403" max="6403" width="9.81640625" style="9" customWidth="1"/>
    <col min="6404" max="6404" width="8.7265625" style="9" customWidth="1"/>
    <col min="6405" max="6405" width="2.1796875" style="9" customWidth="1"/>
    <col min="6406" max="6407" width="9" style="9" customWidth="1"/>
    <col min="6408" max="6408" width="2.453125" style="9" customWidth="1"/>
    <col min="6409" max="6411" width="9" style="9" customWidth="1"/>
    <col min="6412" max="6412" width="9.81640625" style="9" customWidth="1"/>
    <col min="6413" max="6413" width="2.26953125" style="9" customWidth="1"/>
    <col min="6414" max="6415" width="9" style="9" customWidth="1"/>
    <col min="6416" max="6416" width="2.1796875" style="9" customWidth="1"/>
    <col min="6417" max="6418" width="9" style="9" customWidth="1"/>
    <col min="6419" max="6419" width="2.1796875" style="9" customWidth="1"/>
    <col min="6420" max="6421" width="10.1796875" style="9" customWidth="1"/>
    <col min="6422" max="6423" width="10.81640625" style="9" customWidth="1"/>
    <col min="6424" max="6424" width="31.7265625" style="9" customWidth="1"/>
    <col min="6425" max="6425" width="10.453125" style="9" bestFit="1" customWidth="1"/>
    <col min="6426" max="6655" width="9.1796875" style="9"/>
    <col min="6656" max="6656" width="5.54296875" style="9" bestFit="1" customWidth="1"/>
    <col min="6657" max="6657" width="45.81640625" style="9" customWidth="1"/>
    <col min="6658" max="6658" width="15.26953125" style="9" customWidth="1"/>
    <col min="6659" max="6659" width="9.81640625" style="9" customWidth="1"/>
    <col min="6660" max="6660" width="8.7265625" style="9" customWidth="1"/>
    <col min="6661" max="6661" width="2.1796875" style="9" customWidth="1"/>
    <col min="6662" max="6663" width="9" style="9" customWidth="1"/>
    <col min="6664" max="6664" width="2.453125" style="9" customWidth="1"/>
    <col min="6665" max="6667" width="9" style="9" customWidth="1"/>
    <col min="6668" max="6668" width="9.81640625" style="9" customWidth="1"/>
    <col min="6669" max="6669" width="2.26953125" style="9" customWidth="1"/>
    <col min="6670" max="6671" width="9" style="9" customWidth="1"/>
    <col min="6672" max="6672" width="2.1796875" style="9" customWidth="1"/>
    <col min="6673" max="6674" width="9" style="9" customWidth="1"/>
    <col min="6675" max="6675" width="2.1796875" style="9" customWidth="1"/>
    <col min="6676" max="6677" width="10.1796875" style="9" customWidth="1"/>
    <col min="6678" max="6679" width="10.81640625" style="9" customWidth="1"/>
    <col min="6680" max="6680" width="31.7265625" style="9" customWidth="1"/>
    <col min="6681" max="6681" width="10.453125" style="9" bestFit="1" customWidth="1"/>
    <col min="6682" max="6911" width="9.1796875" style="9"/>
    <col min="6912" max="6912" width="5.54296875" style="9" bestFit="1" customWidth="1"/>
    <col min="6913" max="6913" width="45.81640625" style="9" customWidth="1"/>
    <col min="6914" max="6914" width="15.26953125" style="9" customWidth="1"/>
    <col min="6915" max="6915" width="9.81640625" style="9" customWidth="1"/>
    <col min="6916" max="6916" width="8.7265625" style="9" customWidth="1"/>
    <col min="6917" max="6917" width="2.1796875" style="9" customWidth="1"/>
    <col min="6918" max="6919" width="9" style="9" customWidth="1"/>
    <col min="6920" max="6920" width="2.453125" style="9" customWidth="1"/>
    <col min="6921" max="6923" width="9" style="9" customWidth="1"/>
    <col min="6924" max="6924" width="9.81640625" style="9" customWidth="1"/>
    <col min="6925" max="6925" width="2.26953125" style="9" customWidth="1"/>
    <col min="6926" max="6927" width="9" style="9" customWidth="1"/>
    <col min="6928" max="6928" width="2.1796875" style="9" customWidth="1"/>
    <col min="6929" max="6930" width="9" style="9" customWidth="1"/>
    <col min="6931" max="6931" width="2.1796875" style="9" customWidth="1"/>
    <col min="6932" max="6933" width="10.1796875" style="9" customWidth="1"/>
    <col min="6934" max="6935" width="10.81640625" style="9" customWidth="1"/>
    <col min="6936" max="6936" width="31.7265625" style="9" customWidth="1"/>
    <col min="6937" max="6937" width="10.453125" style="9" bestFit="1" customWidth="1"/>
    <col min="6938" max="7167" width="9.1796875" style="9"/>
    <col min="7168" max="7168" width="5.54296875" style="9" bestFit="1" customWidth="1"/>
    <col min="7169" max="7169" width="45.81640625" style="9" customWidth="1"/>
    <col min="7170" max="7170" width="15.26953125" style="9" customWidth="1"/>
    <col min="7171" max="7171" width="9.81640625" style="9" customWidth="1"/>
    <col min="7172" max="7172" width="8.7265625" style="9" customWidth="1"/>
    <col min="7173" max="7173" width="2.1796875" style="9" customWidth="1"/>
    <col min="7174" max="7175" width="9" style="9" customWidth="1"/>
    <col min="7176" max="7176" width="2.453125" style="9" customWidth="1"/>
    <col min="7177" max="7179" width="9" style="9" customWidth="1"/>
    <col min="7180" max="7180" width="9.81640625" style="9" customWidth="1"/>
    <col min="7181" max="7181" width="2.26953125" style="9" customWidth="1"/>
    <col min="7182" max="7183" width="9" style="9" customWidth="1"/>
    <col min="7184" max="7184" width="2.1796875" style="9" customWidth="1"/>
    <col min="7185" max="7186" width="9" style="9" customWidth="1"/>
    <col min="7187" max="7187" width="2.1796875" style="9" customWidth="1"/>
    <col min="7188" max="7189" width="10.1796875" style="9" customWidth="1"/>
    <col min="7190" max="7191" width="10.81640625" style="9" customWidth="1"/>
    <col min="7192" max="7192" width="31.7265625" style="9" customWidth="1"/>
    <col min="7193" max="7193" width="10.453125" style="9" bestFit="1" customWidth="1"/>
    <col min="7194" max="7423" width="9.1796875" style="9"/>
    <col min="7424" max="7424" width="5.54296875" style="9" bestFit="1" customWidth="1"/>
    <col min="7425" max="7425" width="45.81640625" style="9" customWidth="1"/>
    <col min="7426" max="7426" width="15.26953125" style="9" customWidth="1"/>
    <col min="7427" max="7427" width="9.81640625" style="9" customWidth="1"/>
    <col min="7428" max="7428" width="8.7265625" style="9" customWidth="1"/>
    <col min="7429" max="7429" width="2.1796875" style="9" customWidth="1"/>
    <col min="7430" max="7431" width="9" style="9" customWidth="1"/>
    <col min="7432" max="7432" width="2.453125" style="9" customWidth="1"/>
    <col min="7433" max="7435" width="9" style="9" customWidth="1"/>
    <col min="7436" max="7436" width="9.81640625" style="9" customWidth="1"/>
    <col min="7437" max="7437" width="2.26953125" style="9" customWidth="1"/>
    <col min="7438" max="7439" width="9" style="9" customWidth="1"/>
    <col min="7440" max="7440" width="2.1796875" style="9" customWidth="1"/>
    <col min="7441" max="7442" width="9" style="9" customWidth="1"/>
    <col min="7443" max="7443" width="2.1796875" style="9" customWidth="1"/>
    <col min="7444" max="7445" width="10.1796875" style="9" customWidth="1"/>
    <col min="7446" max="7447" width="10.81640625" style="9" customWidth="1"/>
    <col min="7448" max="7448" width="31.7265625" style="9" customWidth="1"/>
    <col min="7449" max="7449" width="10.453125" style="9" bestFit="1" customWidth="1"/>
    <col min="7450" max="7679" width="9.1796875" style="9"/>
    <col min="7680" max="7680" width="5.54296875" style="9" bestFit="1" customWidth="1"/>
    <col min="7681" max="7681" width="45.81640625" style="9" customWidth="1"/>
    <col min="7682" max="7682" width="15.26953125" style="9" customWidth="1"/>
    <col min="7683" max="7683" width="9.81640625" style="9" customWidth="1"/>
    <col min="7684" max="7684" width="8.7265625" style="9" customWidth="1"/>
    <col min="7685" max="7685" width="2.1796875" style="9" customWidth="1"/>
    <col min="7686" max="7687" width="9" style="9" customWidth="1"/>
    <col min="7688" max="7688" width="2.453125" style="9" customWidth="1"/>
    <col min="7689" max="7691" width="9" style="9" customWidth="1"/>
    <col min="7692" max="7692" width="9.81640625" style="9" customWidth="1"/>
    <col min="7693" max="7693" width="2.26953125" style="9" customWidth="1"/>
    <col min="7694" max="7695" width="9" style="9" customWidth="1"/>
    <col min="7696" max="7696" width="2.1796875" style="9" customWidth="1"/>
    <col min="7697" max="7698" width="9" style="9" customWidth="1"/>
    <col min="7699" max="7699" width="2.1796875" style="9" customWidth="1"/>
    <col min="7700" max="7701" width="10.1796875" style="9" customWidth="1"/>
    <col min="7702" max="7703" width="10.81640625" style="9" customWidth="1"/>
    <col min="7704" max="7704" width="31.7265625" style="9" customWidth="1"/>
    <col min="7705" max="7705" width="10.453125" style="9" bestFit="1" customWidth="1"/>
    <col min="7706" max="7935" width="9.1796875" style="9"/>
    <col min="7936" max="7936" width="5.54296875" style="9" bestFit="1" customWidth="1"/>
    <col min="7937" max="7937" width="45.81640625" style="9" customWidth="1"/>
    <col min="7938" max="7938" width="15.26953125" style="9" customWidth="1"/>
    <col min="7939" max="7939" width="9.81640625" style="9" customWidth="1"/>
    <col min="7940" max="7940" width="8.7265625" style="9" customWidth="1"/>
    <col min="7941" max="7941" width="2.1796875" style="9" customWidth="1"/>
    <col min="7942" max="7943" width="9" style="9" customWidth="1"/>
    <col min="7944" max="7944" width="2.453125" style="9" customWidth="1"/>
    <col min="7945" max="7947" width="9" style="9" customWidth="1"/>
    <col min="7948" max="7948" width="9.81640625" style="9" customWidth="1"/>
    <col min="7949" max="7949" width="2.26953125" style="9" customWidth="1"/>
    <col min="7950" max="7951" width="9" style="9" customWidth="1"/>
    <col min="7952" max="7952" width="2.1796875" style="9" customWidth="1"/>
    <col min="7953" max="7954" width="9" style="9" customWidth="1"/>
    <col min="7955" max="7955" width="2.1796875" style="9" customWidth="1"/>
    <col min="7956" max="7957" width="10.1796875" style="9" customWidth="1"/>
    <col min="7958" max="7959" width="10.81640625" style="9" customWidth="1"/>
    <col min="7960" max="7960" width="31.7265625" style="9" customWidth="1"/>
    <col min="7961" max="7961" width="10.453125" style="9" bestFit="1" customWidth="1"/>
    <col min="7962" max="8191" width="9.1796875" style="9"/>
    <col min="8192" max="8192" width="5.54296875" style="9" bestFit="1" customWidth="1"/>
    <col min="8193" max="8193" width="45.81640625" style="9" customWidth="1"/>
    <col min="8194" max="8194" width="15.26953125" style="9" customWidth="1"/>
    <col min="8195" max="8195" width="9.81640625" style="9" customWidth="1"/>
    <col min="8196" max="8196" width="8.7265625" style="9" customWidth="1"/>
    <col min="8197" max="8197" width="2.1796875" style="9" customWidth="1"/>
    <col min="8198" max="8199" width="9" style="9" customWidth="1"/>
    <col min="8200" max="8200" width="2.453125" style="9" customWidth="1"/>
    <col min="8201" max="8203" width="9" style="9" customWidth="1"/>
    <col min="8204" max="8204" width="9.81640625" style="9" customWidth="1"/>
    <col min="8205" max="8205" width="2.26953125" style="9" customWidth="1"/>
    <col min="8206" max="8207" width="9" style="9" customWidth="1"/>
    <col min="8208" max="8208" width="2.1796875" style="9" customWidth="1"/>
    <col min="8209" max="8210" width="9" style="9" customWidth="1"/>
    <col min="8211" max="8211" width="2.1796875" style="9" customWidth="1"/>
    <col min="8212" max="8213" width="10.1796875" style="9" customWidth="1"/>
    <col min="8214" max="8215" width="10.81640625" style="9" customWidth="1"/>
    <col min="8216" max="8216" width="31.7265625" style="9" customWidth="1"/>
    <col min="8217" max="8217" width="10.453125" style="9" bestFit="1" customWidth="1"/>
    <col min="8218" max="8447" width="9.1796875" style="9"/>
    <col min="8448" max="8448" width="5.54296875" style="9" bestFit="1" customWidth="1"/>
    <col min="8449" max="8449" width="45.81640625" style="9" customWidth="1"/>
    <col min="8450" max="8450" width="15.26953125" style="9" customWidth="1"/>
    <col min="8451" max="8451" width="9.81640625" style="9" customWidth="1"/>
    <col min="8452" max="8452" width="8.7265625" style="9" customWidth="1"/>
    <col min="8453" max="8453" width="2.1796875" style="9" customWidth="1"/>
    <col min="8454" max="8455" width="9" style="9" customWidth="1"/>
    <col min="8456" max="8456" width="2.453125" style="9" customWidth="1"/>
    <col min="8457" max="8459" width="9" style="9" customWidth="1"/>
    <col min="8460" max="8460" width="9.81640625" style="9" customWidth="1"/>
    <col min="8461" max="8461" width="2.26953125" style="9" customWidth="1"/>
    <col min="8462" max="8463" width="9" style="9" customWidth="1"/>
    <col min="8464" max="8464" width="2.1796875" style="9" customWidth="1"/>
    <col min="8465" max="8466" width="9" style="9" customWidth="1"/>
    <col min="8467" max="8467" width="2.1796875" style="9" customWidth="1"/>
    <col min="8468" max="8469" width="10.1796875" style="9" customWidth="1"/>
    <col min="8470" max="8471" width="10.81640625" style="9" customWidth="1"/>
    <col min="8472" max="8472" width="31.7265625" style="9" customWidth="1"/>
    <col min="8473" max="8473" width="10.453125" style="9" bestFit="1" customWidth="1"/>
    <col min="8474" max="8703" width="9.1796875" style="9"/>
    <col min="8704" max="8704" width="5.54296875" style="9" bestFit="1" customWidth="1"/>
    <col min="8705" max="8705" width="45.81640625" style="9" customWidth="1"/>
    <col min="8706" max="8706" width="15.26953125" style="9" customWidth="1"/>
    <col min="8707" max="8707" width="9.81640625" style="9" customWidth="1"/>
    <col min="8708" max="8708" width="8.7265625" style="9" customWidth="1"/>
    <col min="8709" max="8709" width="2.1796875" style="9" customWidth="1"/>
    <col min="8710" max="8711" width="9" style="9" customWidth="1"/>
    <col min="8712" max="8712" width="2.453125" style="9" customWidth="1"/>
    <col min="8713" max="8715" width="9" style="9" customWidth="1"/>
    <col min="8716" max="8716" width="9.81640625" style="9" customWidth="1"/>
    <col min="8717" max="8717" width="2.26953125" style="9" customWidth="1"/>
    <col min="8718" max="8719" width="9" style="9" customWidth="1"/>
    <col min="8720" max="8720" width="2.1796875" style="9" customWidth="1"/>
    <col min="8721" max="8722" width="9" style="9" customWidth="1"/>
    <col min="8723" max="8723" width="2.1796875" style="9" customWidth="1"/>
    <col min="8724" max="8725" width="10.1796875" style="9" customWidth="1"/>
    <col min="8726" max="8727" width="10.81640625" style="9" customWidth="1"/>
    <col min="8728" max="8728" width="31.7265625" style="9" customWidth="1"/>
    <col min="8729" max="8729" width="10.453125" style="9" bestFit="1" customWidth="1"/>
    <col min="8730" max="8959" width="9.1796875" style="9"/>
    <col min="8960" max="8960" width="5.54296875" style="9" bestFit="1" customWidth="1"/>
    <col min="8961" max="8961" width="45.81640625" style="9" customWidth="1"/>
    <col min="8962" max="8962" width="15.26953125" style="9" customWidth="1"/>
    <col min="8963" max="8963" width="9.81640625" style="9" customWidth="1"/>
    <col min="8964" max="8964" width="8.7265625" style="9" customWidth="1"/>
    <col min="8965" max="8965" width="2.1796875" style="9" customWidth="1"/>
    <col min="8966" max="8967" width="9" style="9" customWidth="1"/>
    <col min="8968" max="8968" width="2.453125" style="9" customWidth="1"/>
    <col min="8969" max="8971" width="9" style="9" customWidth="1"/>
    <col min="8972" max="8972" width="9.81640625" style="9" customWidth="1"/>
    <col min="8973" max="8973" width="2.26953125" style="9" customWidth="1"/>
    <col min="8974" max="8975" width="9" style="9" customWidth="1"/>
    <col min="8976" max="8976" width="2.1796875" style="9" customWidth="1"/>
    <col min="8977" max="8978" width="9" style="9" customWidth="1"/>
    <col min="8979" max="8979" width="2.1796875" style="9" customWidth="1"/>
    <col min="8980" max="8981" width="10.1796875" style="9" customWidth="1"/>
    <col min="8982" max="8983" width="10.81640625" style="9" customWidth="1"/>
    <col min="8984" max="8984" width="31.7265625" style="9" customWidth="1"/>
    <col min="8985" max="8985" width="10.453125" style="9" bestFit="1" customWidth="1"/>
    <col min="8986" max="9215" width="9.1796875" style="9"/>
    <col min="9216" max="9216" width="5.54296875" style="9" bestFit="1" customWidth="1"/>
    <col min="9217" max="9217" width="45.81640625" style="9" customWidth="1"/>
    <col min="9218" max="9218" width="15.26953125" style="9" customWidth="1"/>
    <col min="9219" max="9219" width="9.81640625" style="9" customWidth="1"/>
    <col min="9220" max="9220" width="8.7265625" style="9" customWidth="1"/>
    <col min="9221" max="9221" width="2.1796875" style="9" customWidth="1"/>
    <col min="9222" max="9223" width="9" style="9" customWidth="1"/>
    <col min="9224" max="9224" width="2.453125" style="9" customWidth="1"/>
    <col min="9225" max="9227" width="9" style="9" customWidth="1"/>
    <col min="9228" max="9228" width="9.81640625" style="9" customWidth="1"/>
    <col min="9229" max="9229" width="2.26953125" style="9" customWidth="1"/>
    <col min="9230" max="9231" width="9" style="9" customWidth="1"/>
    <col min="9232" max="9232" width="2.1796875" style="9" customWidth="1"/>
    <col min="9233" max="9234" width="9" style="9" customWidth="1"/>
    <col min="9235" max="9235" width="2.1796875" style="9" customWidth="1"/>
    <col min="9236" max="9237" width="10.1796875" style="9" customWidth="1"/>
    <col min="9238" max="9239" width="10.81640625" style="9" customWidth="1"/>
    <col min="9240" max="9240" width="31.7265625" style="9" customWidth="1"/>
    <col min="9241" max="9241" width="10.453125" style="9" bestFit="1" customWidth="1"/>
    <col min="9242" max="9471" width="9.1796875" style="9"/>
    <col min="9472" max="9472" width="5.54296875" style="9" bestFit="1" customWidth="1"/>
    <col min="9473" max="9473" width="45.81640625" style="9" customWidth="1"/>
    <col min="9474" max="9474" width="15.26953125" style="9" customWidth="1"/>
    <col min="9475" max="9475" width="9.81640625" style="9" customWidth="1"/>
    <col min="9476" max="9476" width="8.7265625" style="9" customWidth="1"/>
    <col min="9477" max="9477" width="2.1796875" style="9" customWidth="1"/>
    <col min="9478" max="9479" width="9" style="9" customWidth="1"/>
    <col min="9480" max="9480" width="2.453125" style="9" customWidth="1"/>
    <col min="9481" max="9483" width="9" style="9" customWidth="1"/>
    <col min="9484" max="9484" width="9.81640625" style="9" customWidth="1"/>
    <col min="9485" max="9485" width="2.26953125" style="9" customWidth="1"/>
    <col min="9486" max="9487" width="9" style="9" customWidth="1"/>
    <col min="9488" max="9488" width="2.1796875" style="9" customWidth="1"/>
    <col min="9489" max="9490" width="9" style="9" customWidth="1"/>
    <col min="9491" max="9491" width="2.1796875" style="9" customWidth="1"/>
    <col min="9492" max="9493" width="10.1796875" style="9" customWidth="1"/>
    <col min="9494" max="9495" width="10.81640625" style="9" customWidth="1"/>
    <col min="9496" max="9496" width="31.7265625" style="9" customWidth="1"/>
    <col min="9497" max="9497" width="10.453125" style="9" bestFit="1" customWidth="1"/>
    <col min="9498" max="9727" width="9.1796875" style="9"/>
    <col min="9728" max="9728" width="5.54296875" style="9" bestFit="1" customWidth="1"/>
    <col min="9729" max="9729" width="45.81640625" style="9" customWidth="1"/>
    <col min="9730" max="9730" width="15.26953125" style="9" customWidth="1"/>
    <col min="9731" max="9731" width="9.81640625" style="9" customWidth="1"/>
    <col min="9732" max="9732" width="8.7265625" style="9" customWidth="1"/>
    <col min="9733" max="9733" width="2.1796875" style="9" customWidth="1"/>
    <col min="9734" max="9735" width="9" style="9" customWidth="1"/>
    <col min="9736" max="9736" width="2.453125" style="9" customWidth="1"/>
    <col min="9737" max="9739" width="9" style="9" customWidth="1"/>
    <col min="9740" max="9740" width="9.81640625" style="9" customWidth="1"/>
    <col min="9741" max="9741" width="2.26953125" style="9" customWidth="1"/>
    <col min="9742" max="9743" width="9" style="9" customWidth="1"/>
    <col min="9744" max="9744" width="2.1796875" style="9" customWidth="1"/>
    <col min="9745" max="9746" width="9" style="9" customWidth="1"/>
    <col min="9747" max="9747" width="2.1796875" style="9" customWidth="1"/>
    <col min="9748" max="9749" width="10.1796875" style="9" customWidth="1"/>
    <col min="9750" max="9751" width="10.81640625" style="9" customWidth="1"/>
    <col min="9752" max="9752" width="31.7265625" style="9" customWidth="1"/>
    <col min="9753" max="9753" width="10.453125" style="9" bestFit="1" customWidth="1"/>
    <col min="9754" max="9983" width="9.1796875" style="9"/>
    <col min="9984" max="9984" width="5.54296875" style="9" bestFit="1" customWidth="1"/>
    <col min="9985" max="9985" width="45.81640625" style="9" customWidth="1"/>
    <col min="9986" max="9986" width="15.26953125" style="9" customWidth="1"/>
    <col min="9987" max="9987" width="9.81640625" style="9" customWidth="1"/>
    <col min="9988" max="9988" width="8.7265625" style="9" customWidth="1"/>
    <col min="9989" max="9989" width="2.1796875" style="9" customWidth="1"/>
    <col min="9990" max="9991" width="9" style="9" customWidth="1"/>
    <col min="9992" max="9992" width="2.453125" style="9" customWidth="1"/>
    <col min="9993" max="9995" width="9" style="9" customWidth="1"/>
    <col min="9996" max="9996" width="9.81640625" style="9" customWidth="1"/>
    <col min="9997" max="9997" width="2.26953125" style="9" customWidth="1"/>
    <col min="9998" max="9999" width="9" style="9" customWidth="1"/>
    <col min="10000" max="10000" width="2.1796875" style="9" customWidth="1"/>
    <col min="10001" max="10002" width="9" style="9" customWidth="1"/>
    <col min="10003" max="10003" width="2.1796875" style="9" customWidth="1"/>
    <col min="10004" max="10005" width="10.1796875" style="9" customWidth="1"/>
    <col min="10006" max="10007" width="10.81640625" style="9" customWidth="1"/>
    <col min="10008" max="10008" width="31.7265625" style="9" customWidth="1"/>
    <col min="10009" max="10009" width="10.453125" style="9" bestFit="1" customWidth="1"/>
    <col min="10010" max="10239" width="9.1796875" style="9"/>
    <col min="10240" max="10240" width="5.54296875" style="9" bestFit="1" customWidth="1"/>
    <col min="10241" max="10241" width="45.81640625" style="9" customWidth="1"/>
    <col min="10242" max="10242" width="15.26953125" style="9" customWidth="1"/>
    <col min="10243" max="10243" width="9.81640625" style="9" customWidth="1"/>
    <col min="10244" max="10244" width="8.7265625" style="9" customWidth="1"/>
    <col min="10245" max="10245" width="2.1796875" style="9" customWidth="1"/>
    <col min="10246" max="10247" width="9" style="9" customWidth="1"/>
    <col min="10248" max="10248" width="2.453125" style="9" customWidth="1"/>
    <col min="10249" max="10251" width="9" style="9" customWidth="1"/>
    <col min="10252" max="10252" width="9.81640625" style="9" customWidth="1"/>
    <col min="10253" max="10253" width="2.26953125" style="9" customWidth="1"/>
    <col min="10254" max="10255" width="9" style="9" customWidth="1"/>
    <col min="10256" max="10256" width="2.1796875" style="9" customWidth="1"/>
    <col min="10257" max="10258" width="9" style="9" customWidth="1"/>
    <col min="10259" max="10259" width="2.1796875" style="9" customWidth="1"/>
    <col min="10260" max="10261" width="10.1796875" style="9" customWidth="1"/>
    <col min="10262" max="10263" width="10.81640625" style="9" customWidth="1"/>
    <col min="10264" max="10264" width="31.7265625" style="9" customWidth="1"/>
    <col min="10265" max="10265" width="10.453125" style="9" bestFit="1" customWidth="1"/>
    <col min="10266" max="10495" width="9.1796875" style="9"/>
    <col min="10496" max="10496" width="5.54296875" style="9" bestFit="1" customWidth="1"/>
    <col min="10497" max="10497" width="45.81640625" style="9" customWidth="1"/>
    <col min="10498" max="10498" width="15.26953125" style="9" customWidth="1"/>
    <col min="10499" max="10499" width="9.81640625" style="9" customWidth="1"/>
    <col min="10500" max="10500" width="8.7265625" style="9" customWidth="1"/>
    <col min="10501" max="10501" width="2.1796875" style="9" customWidth="1"/>
    <col min="10502" max="10503" width="9" style="9" customWidth="1"/>
    <col min="10504" max="10504" width="2.453125" style="9" customWidth="1"/>
    <col min="10505" max="10507" width="9" style="9" customWidth="1"/>
    <col min="10508" max="10508" width="9.81640625" style="9" customWidth="1"/>
    <col min="10509" max="10509" width="2.26953125" style="9" customWidth="1"/>
    <col min="10510" max="10511" width="9" style="9" customWidth="1"/>
    <col min="10512" max="10512" width="2.1796875" style="9" customWidth="1"/>
    <col min="10513" max="10514" width="9" style="9" customWidth="1"/>
    <col min="10515" max="10515" width="2.1796875" style="9" customWidth="1"/>
    <col min="10516" max="10517" width="10.1796875" style="9" customWidth="1"/>
    <col min="10518" max="10519" width="10.81640625" style="9" customWidth="1"/>
    <col min="10520" max="10520" width="31.7265625" style="9" customWidth="1"/>
    <col min="10521" max="10521" width="10.453125" style="9" bestFit="1" customWidth="1"/>
    <col min="10522" max="10751" width="9.1796875" style="9"/>
    <col min="10752" max="10752" width="5.54296875" style="9" bestFit="1" customWidth="1"/>
    <col min="10753" max="10753" width="45.81640625" style="9" customWidth="1"/>
    <col min="10754" max="10754" width="15.26953125" style="9" customWidth="1"/>
    <col min="10755" max="10755" width="9.81640625" style="9" customWidth="1"/>
    <col min="10756" max="10756" width="8.7265625" style="9" customWidth="1"/>
    <col min="10757" max="10757" width="2.1796875" style="9" customWidth="1"/>
    <col min="10758" max="10759" width="9" style="9" customWidth="1"/>
    <col min="10760" max="10760" width="2.453125" style="9" customWidth="1"/>
    <col min="10761" max="10763" width="9" style="9" customWidth="1"/>
    <col min="10764" max="10764" width="9.81640625" style="9" customWidth="1"/>
    <col min="10765" max="10765" width="2.26953125" style="9" customWidth="1"/>
    <col min="10766" max="10767" width="9" style="9" customWidth="1"/>
    <col min="10768" max="10768" width="2.1796875" style="9" customWidth="1"/>
    <col min="10769" max="10770" width="9" style="9" customWidth="1"/>
    <col min="10771" max="10771" width="2.1796875" style="9" customWidth="1"/>
    <col min="10772" max="10773" width="10.1796875" style="9" customWidth="1"/>
    <col min="10774" max="10775" width="10.81640625" style="9" customWidth="1"/>
    <col min="10776" max="10776" width="31.7265625" style="9" customWidth="1"/>
    <col min="10777" max="10777" width="10.453125" style="9" bestFit="1" customWidth="1"/>
    <col min="10778" max="11007" width="9.1796875" style="9"/>
    <col min="11008" max="11008" width="5.54296875" style="9" bestFit="1" customWidth="1"/>
    <col min="11009" max="11009" width="45.81640625" style="9" customWidth="1"/>
    <col min="11010" max="11010" width="15.26953125" style="9" customWidth="1"/>
    <col min="11011" max="11011" width="9.81640625" style="9" customWidth="1"/>
    <col min="11012" max="11012" width="8.7265625" style="9" customWidth="1"/>
    <col min="11013" max="11013" width="2.1796875" style="9" customWidth="1"/>
    <col min="11014" max="11015" width="9" style="9" customWidth="1"/>
    <col min="11016" max="11016" width="2.453125" style="9" customWidth="1"/>
    <col min="11017" max="11019" width="9" style="9" customWidth="1"/>
    <col min="11020" max="11020" width="9.81640625" style="9" customWidth="1"/>
    <col min="11021" max="11021" width="2.26953125" style="9" customWidth="1"/>
    <col min="11022" max="11023" width="9" style="9" customWidth="1"/>
    <col min="11024" max="11024" width="2.1796875" style="9" customWidth="1"/>
    <col min="11025" max="11026" width="9" style="9" customWidth="1"/>
    <col min="11027" max="11027" width="2.1796875" style="9" customWidth="1"/>
    <col min="11028" max="11029" width="10.1796875" style="9" customWidth="1"/>
    <col min="11030" max="11031" width="10.81640625" style="9" customWidth="1"/>
    <col min="11032" max="11032" width="31.7265625" style="9" customWidth="1"/>
    <col min="11033" max="11033" width="10.453125" style="9" bestFit="1" customWidth="1"/>
    <col min="11034" max="11263" width="9.1796875" style="9"/>
    <col min="11264" max="11264" width="5.54296875" style="9" bestFit="1" customWidth="1"/>
    <col min="11265" max="11265" width="45.81640625" style="9" customWidth="1"/>
    <col min="11266" max="11266" width="15.26953125" style="9" customWidth="1"/>
    <col min="11267" max="11267" width="9.81640625" style="9" customWidth="1"/>
    <col min="11268" max="11268" width="8.7265625" style="9" customWidth="1"/>
    <col min="11269" max="11269" width="2.1796875" style="9" customWidth="1"/>
    <col min="11270" max="11271" width="9" style="9" customWidth="1"/>
    <col min="11272" max="11272" width="2.453125" style="9" customWidth="1"/>
    <col min="11273" max="11275" width="9" style="9" customWidth="1"/>
    <col min="11276" max="11276" width="9.81640625" style="9" customWidth="1"/>
    <col min="11277" max="11277" width="2.26953125" style="9" customWidth="1"/>
    <col min="11278" max="11279" width="9" style="9" customWidth="1"/>
    <col min="11280" max="11280" width="2.1796875" style="9" customWidth="1"/>
    <col min="11281" max="11282" width="9" style="9" customWidth="1"/>
    <col min="11283" max="11283" width="2.1796875" style="9" customWidth="1"/>
    <col min="11284" max="11285" width="10.1796875" style="9" customWidth="1"/>
    <col min="11286" max="11287" width="10.81640625" style="9" customWidth="1"/>
    <col min="11288" max="11288" width="31.7265625" style="9" customWidth="1"/>
    <col min="11289" max="11289" width="10.453125" style="9" bestFit="1" customWidth="1"/>
    <col min="11290" max="11519" width="9.1796875" style="9"/>
    <col min="11520" max="11520" width="5.54296875" style="9" bestFit="1" customWidth="1"/>
    <col min="11521" max="11521" width="45.81640625" style="9" customWidth="1"/>
    <col min="11522" max="11522" width="15.26953125" style="9" customWidth="1"/>
    <col min="11523" max="11523" width="9.81640625" style="9" customWidth="1"/>
    <col min="11524" max="11524" width="8.7265625" style="9" customWidth="1"/>
    <col min="11525" max="11525" width="2.1796875" style="9" customWidth="1"/>
    <col min="11526" max="11527" width="9" style="9" customWidth="1"/>
    <col min="11528" max="11528" width="2.453125" style="9" customWidth="1"/>
    <col min="11529" max="11531" width="9" style="9" customWidth="1"/>
    <col min="11532" max="11532" width="9.81640625" style="9" customWidth="1"/>
    <col min="11533" max="11533" width="2.26953125" style="9" customWidth="1"/>
    <col min="11534" max="11535" width="9" style="9" customWidth="1"/>
    <col min="11536" max="11536" width="2.1796875" style="9" customWidth="1"/>
    <col min="11537" max="11538" width="9" style="9" customWidth="1"/>
    <col min="11539" max="11539" width="2.1796875" style="9" customWidth="1"/>
    <col min="11540" max="11541" width="10.1796875" style="9" customWidth="1"/>
    <col min="11542" max="11543" width="10.81640625" style="9" customWidth="1"/>
    <col min="11544" max="11544" width="31.7265625" style="9" customWidth="1"/>
    <col min="11545" max="11545" width="10.453125" style="9" bestFit="1" customWidth="1"/>
    <col min="11546" max="11775" width="9.1796875" style="9"/>
    <col min="11776" max="11776" width="5.54296875" style="9" bestFit="1" customWidth="1"/>
    <col min="11777" max="11777" width="45.81640625" style="9" customWidth="1"/>
    <col min="11778" max="11778" width="15.26953125" style="9" customWidth="1"/>
    <col min="11779" max="11779" width="9.81640625" style="9" customWidth="1"/>
    <col min="11780" max="11780" width="8.7265625" style="9" customWidth="1"/>
    <col min="11781" max="11781" width="2.1796875" style="9" customWidth="1"/>
    <col min="11782" max="11783" width="9" style="9" customWidth="1"/>
    <col min="11784" max="11784" width="2.453125" style="9" customWidth="1"/>
    <col min="11785" max="11787" width="9" style="9" customWidth="1"/>
    <col min="11788" max="11788" width="9.81640625" style="9" customWidth="1"/>
    <col min="11789" max="11789" width="2.26953125" style="9" customWidth="1"/>
    <col min="11790" max="11791" width="9" style="9" customWidth="1"/>
    <col min="11792" max="11792" width="2.1796875" style="9" customWidth="1"/>
    <col min="11793" max="11794" width="9" style="9" customWidth="1"/>
    <col min="11795" max="11795" width="2.1796875" style="9" customWidth="1"/>
    <col min="11796" max="11797" width="10.1796875" style="9" customWidth="1"/>
    <col min="11798" max="11799" width="10.81640625" style="9" customWidth="1"/>
    <col min="11800" max="11800" width="31.7265625" style="9" customWidth="1"/>
    <col min="11801" max="11801" width="10.453125" style="9" bestFit="1" customWidth="1"/>
    <col min="11802" max="12031" width="9.1796875" style="9"/>
    <col min="12032" max="12032" width="5.54296875" style="9" bestFit="1" customWidth="1"/>
    <col min="12033" max="12033" width="45.81640625" style="9" customWidth="1"/>
    <col min="12034" max="12034" width="15.26953125" style="9" customWidth="1"/>
    <col min="12035" max="12035" width="9.81640625" style="9" customWidth="1"/>
    <col min="12036" max="12036" width="8.7265625" style="9" customWidth="1"/>
    <col min="12037" max="12037" width="2.1796875" style="9" customWidth="1"/>
    <col min="12038" max="12039" width="9" style="9" customWidth="1"/>
    <col min="12040" max="12040" width="2.453125" style="9" customWidth="1"/>
    <col min="12041" max="12043" width="9" style="9" customWidth="1"/>
    <col min="12044" max="12044" width="9.81640625" style="9" customWidth="1"/>
    <col min="12045" max="12045" width="2.26953125" style="9" customWidth="1"/>
    <col min="12046" max="12047" width="9" style="9" customWidth="1"/>
    <col min="12048" max="12048" width="2.1796875" style="9" customWidth="1"/>
    <col min="12049" max="12050" width="9" style="9" customWidth="1"/>
    <col min="12051" max="12051" width="2.1796875" style="9" customWidth="1"/>
    <col min="12052" max="12053" width="10.1796875" style="9" customWidth="1"/>
    <col min="12054" max="12055" width="10.81640625" style="9" customWidth="1"/>
    <col min="12056" max="12056" width="31.7265625" style="9" customWidth="1"/>
    <col min="12057" max="12057" width="10.453125" style="9" bestFit="1" customWidth="1"/>
    <col min="12058" max="12287" width="9.1796875" style="9"/>
    <col min="12288" max="12288" width="5.54296875" style="9" bestFit="1" customWidth="1"/>
    <col min="12289" max="12289" width="45.81640625" style="9" customWidth="1"/>
    <col min="12290" max="12290" width="15.26953125" style="9" customWidth="1"/>
    <col min="12291" max="12291" width="9.81640625" style="9" customWidth="1"/>
    <col min="12292" max="12292" width="8.7265625" style="9" customWidth="1"/>
    <col min="12293" max="12293" width="2.1796875" style="9" customWidth="1"/>
    <col min="12294" max="12295" width="9" style="9" customWidth="1"/>
    <col min="12296" max="12296" width="2.453125" style="9" customWidth="1"/>
    <col min="12297" max="12299" width="9" style="9" customWidth="1"/>
    <col min="12300" max="12300" width="9.81640625" style="9" customWidth="1"/>
    <col min="12301" max="12301" width="2.26953125" style="9" customWidth="1"/>
    <col min="12302" max="12303" width="9" style="9" customWidth="1"/>
    <col min="12304" max="12304" width="2.1796875" style="9" customWidth="1"/>
    <col min="12305" max="12306" width="9" style="9" customWidth="1"/>
    <col min="12307" max="12307" width="2.1796875" style="9" customWidth="1"/>
    <col min="12308" max="12309" width="10.1796875" style="9" customWidth="1"/>
    <col min="12310" max="12311" width="10.81640625" style="9" customWidth="1"/>
    <col min="12312" max="12312" width="31.7265625" style="9" customWidth="1"/>
    <col min="12313" max="12313" width="10.453125" style="9" bestFit="1" customWidth="1"/>
    <col min="12314" max="12543" width="9.1796875" style="9"/>
    <col min="12544" max="12544" width="5.54296875" style="9" bestFit="1" customWidth="1"/>
    <col min="12545" max="12545" width="45.81640625" style="9" customWidth="1"/>
    <col min="12546" max="12546" width="15.26953125" style="9" customWidth="1"/>
    <col min="12547" max="12547" width="9.81640625" style="9" customWidth="1"/>
    <col min="12548" max="12548" width="8.7265625" style="9" customWidth="1"/>
    <col min="12549" max="12549" width="2.1796875" style="9" customWidth="1"/>
    <col min="12550" max="12551" width="9" style="9" customWidth="1"/>
    <col min="12552" max="12552" width="2.453125" style="9" customWidth="1"/>
    <col min="12553" max="12555" width="9" style="9" customWidth="1"/>
    <col min="12556" max="12556" width="9.81640625" style="9" customWidth="1"/>
    <col min="12557" max="12557" width="2.26953125" style="9" customWidth="1"/>
    <col min="12558" max="12559" width="9" style="9" customWidth="1"/>
    <col min="12560" max="12560" width="2.1796875" style="9" customWidth="1"/>
    <col min="12561" max="12562" width="9" style="9" customWidth="1"/>
    <col min="12563" max="12563" width="2.1796875" style="9" customWidth="1"/>
    <col min="12564" max="12565" width="10.1796875" style="9" customWidth="1"/>
    <col min="12566" max="12567" width="10.81640625" style="9" customWidth="1"/>
    <col min="12568" max="12568" width="31.7265625" style="9" customWidth="1"/>
    <col min="12569" max="12569" width="10.453125" style="9" bestFit="1" customWidth="1"/>
    <col min="12570" max="12799" width="9.1796875" style="9"/>
    <col min="12800" max="12800" width="5.54296875" style="9" bestFit="1" customWidth="1"/>
    <col min="12801" max="12801" width="45.81640625" style="9" customWidth="1"/>
    <col min="12802" max="12802" width="15.26953125" style="9" customWidth="1"/>
    <col min="12803" max="12803" width="9.81640625" style="9" customWidth="1"/>
    <col min="12804" max="12804" width="8.7265625" style="9" customWidth="1"/>
    <col min="12805" max="12805" width="2.1796875" style="9" customWidth="1"/>
    <col min="12806" max="12807" width="9" style="9" customWidth="1"/>
    <col min="12808" max="12808" width="2.453125" style="9" customWidth="1"/>
    <col min="12809" max="12811" width="9" style="9" customWidth="1"/>
    <col min="12812" max="12812" width="9.81640625" style="9" customWidth="1"/>
    <col min="12813" max="12813" width="2.26953125" style="9" customWidth="1"/>
    <col min="12814" max="12815" width="9" style="9" customWidth="1"/>
    <col min="12816" max="12816" width="2.1796875" style="9" customWidth="1"/>
    <col min="12817" max="12818" width="9" style="9" customWidth="1"/>
    <col min="12819" max="12819" width="2.1796875" style="9" customWidth="1"/>
    <col min="12820" max="12821" width="10.1796875" style="9" customWidth="1"/>
    <col min="12822" max="12823" width="10.81640625" style="9" customWidth="1"/>
    <col min="12824" max="12824" width="31.7265625" style="9" customWidth="1"/>
    <col min="12825" max="12825" width="10.453125" style="9" bestFit="1" customWidth="1"/>
    <col min="12826" max="13055" width="9.1796875" style="9"/>
    <col min="13056" max="13056" width="5.54296875" style="9" bestFit="1" customWidth="1"/>
    <col min="13057" max="13057" width="45.81640625" style="9" customWidth="1"/>
    <col min="13058" max="13058" width="15.26953125" style="9" customWidth="1"/>
    <col min="13059" max="13059" width="9.81640625" style="9" customWidth="1"/>
    <col min="13060" max="13060" width="8.7265625" style="9" customWidth="1"/>
    <col min="13061" max="13061" width="2.1796875" style="9" customWidth="1"/>
    <col min="13062" max="13063" width="9" style="9" customWidth="1"/>
    <col min="13064" max="13064" width="2.453125" style="9" customWidth="1"/>
    <col min="13065" max="13067" width="9" style="9" customWidth="1"/>
    <col min="13068" max="13068" width="9.81640625" style="9" customWidth="1"/>
    <col min="13069" max="13069" width="2.26953125" style="9" customWidth="1"/>
    <col min="13070" max="13071" width="9" style="9" customWidth="1"/>
    <col min="13072" max="13072" width="2.1796875" style="9" customWidth="1"/>
    <col min="13073" max="13074" width="9" style="9" customWidth="1"/>
    <col min="13075" max="13075" width="2.1796875" style="9" customWidth="1"/>
    <col min="13076" max="13077" width="10.1796875" style="9" customWidth="1"/>
    <col min="13078" max="13079" width="10.81640625" style="9" customWidth="1"/>
    <col min="13080" max="13080" width="31.7265625" style="9" customWidth="1"/>
    <col min="13081" max="13081" width="10.453125" style="9" bestFit="1" customWidth="1"/>
    <col min="13082" max="13311" width="9.1796875" style="9"/>
    <col min="13312" max="13312" width="5.54296875" style="9" bestFit="1" customWidth="1"/>
    <col min="13313" max="13313" width="45.81640625" style="9" customWidth="1"/>
    <col min="13314" max="13314" width="15.26953125" style="9" customWidth="1"/>
    <col min="13315" max="13315" width="9.81640625" style="9" customWidth="1"/>
    <col min="13316" max="13316" width="8.7265625" style="9" customWidth="1"/>
    <col min="13317" max="13317" width="2.1796875" style="9" customWidth="1"/>
    <col min="13318" max="13319" width="9" style="9" customWidth="1"/>
    <col min="13320" max="13320" width="2.453125" style="9" customWidth="1"/>
    <col min="13321" max="13323" width="9" style="9" customWidth="1"/>
    <col min="13324" max="13324" width="9.81640625" style="9" customWidth="1"/>
    <col min="13325" max="13325" width="2.26953125" style="9" customWidth="1"/>
    <col min="13326" max="13327" width="9" style="9" customWidth="1"/>
    <col min="13328" max="13328" width="2.1796875" style="9" customWidth="1"/>
    <col min="13329" max="13330" width="9" style="9" customWidth="1"/>
    <col min="13331" max="13331" width="2.1796875" style="9" customWidth="1"/>
    <col min="13332" max="13333" width="10.1796875" style="9" customWidth="1"/>
    <col min="13334" max="13335" width="10.81640625" style="9" customWidth="1"/>
    <col min="13336" max="13336" width="31.7265625" style="9" customWidth="1"/>
    <col min="13337" max="13337" width="10.453125" style="9" bestFit="1" customWidth="1"/>
    <col min="13338" max="13567" width="9.1796875" style="9"/>
    <col min="13568" max="13568" width="5.54296875" style="9" bestFit="1" customWidth="1"/>
    <col min="13569" max="13569" width="45.81640625" style="9" customWidth="1"/>
    <col min="13570" max="13570" width="15.26953125" style="9" customWidth="1"/>
    <col min="13571" max="13571" width="9.81640625" style="9" customWidth="1"/>
    <col min="13572" max="13572" width="8.7265625" style="9" customWidth="1"/>
    <col min="13573" max="13573" width="2.1796875" style="9" customWidth="1"/>
    <col min="13574" max="13575" width="9" style="9" customWidth="1"/>
    <col min="13576" max="13576" width="2.453125" style="9" customWidth="1"/>
    <col min="13577" max="13579" width="9" style="9" customWidth="1"/>
    <col min="13580" max="13580" width="9.81640625" style="9" customWidth="1"/>
    <col min="13581" max="13581" width="2.26953125" style="9" customWidth="1"/>
    <col min="13582" max="13583" width="9" style="9" customWidth="1"/>
    <col min="13584" max="13584" width="2.1796875" style="9" customWidth="1"/>
    <col min="13585" max="13586" width="9" style="9" customWidth="1"/>
    <col min="13587" max="13587" width="2.1796875" style="9" customWidth="1"/>
    <col min="13588" max="13589" width="10.1796875" style="9" customWidth="1"/>
    <col min="13590" max="13591" width="10.81640625" style="9" customWidth="1"/>
    <col min="13592" max="13592" width="31.7265625" style="9" customWidth="1"/>
    <col min="13593" max="13593" width="10.453125" style="9" bestFit="1" customWidth="1"/>
    <col min="13594" max="13823" width="9.1796875" style="9"/>
    <col min="13824" max="13824" width="5.54296875" style="9" bestFit="1" customWidth="1"/>
    <col min="13825" max="13825" width="45.81640625" style="9" customWidth="1"/>
    <col min="13826" max="13826" width="15.26953125" style="9" customWidth="1"/>
    <col min="13827" max="13827" width="9.81640625" style="9" customWidth="1"/>
    <col min="13828" max="13828" width="8.7265625" style="9" customWidth="1"/>
    <col min="13829" max="13829" width="2.1796875" style="9" customWidth="1"/>
    <col min="13830" max="13831" width="9" style="9" customWidth="1"/>
    <col min="13832" max="13832" width="2.453125" style="9" customWidth="1"/>
    <col min="13833" max="13835" width="9" style="9" customWidth="1"/>
    <col min="13836" max="13836" width="9.81640625" style="9" customWidth="1"/>
    <col min="13837" max="13837" width="2.26953125" style="9" customWidth="1"/>
    <col min="13838" max="13839" width="9" style="9" customWidth="1"/>
    <col min="13840" max="13840" width="2.1796875" style="9" customWidth="1"/>
    <col min="13841" max="13842" width="9" style="9" customWidth="1"/>
    <col min="13843" max="13843" width="2.1796875" style="9" customWidth="1"/>
    <col min="13844" max="13845" width="10.1796875" style="9" customWidth="1"/>
    <col min="13846" max="13847" width="10.81640625" style="9" customWidth="1"/>
    <col min="13848" max="13848" width="31.7265625" style="9" customWidth="1"/>
    <col min="13849" max="13849" width="10.453125" style="9" bestFit="1" customWidth="1"/>
    <col min="13850" max="14079" width="9.1796875" style="9"/>
    <col min="14080" max="14080" width="5.54296875" style="9" bestFit="1" customWidth="1"/>
    <col min="14081" max="14081" width="45.81640625" style="9" customWidth="1"/>
    <col min="14082" max="14082" width="15.26953125" style="9" customWidth="1"/>
    <col min="14083" max="14083" width="9.81640625" style="9" customWidth="1"/>
    <col min="14084" max="14084" width="8.7265625" style="9" customWidth="1"/>
    <col min="14085" max="14085" width="2.1796875" style="9" customWidth="1"/>
    <col min="14086" max="14087" width="9" style="9" customWidth="1"/>
    <col min="14088" max="14088" width="2.453125" style="9" customWidth="1"/>
    <col min="14089" max="14091" width="9" style="9" customWidth="1"/>
    <col min="14092" max="14092" width="9.81640625" style="9" customWidth="1"/>
    <col min="14093" max="14093" width="2.26953125" style="9" customWidth="1"/>
    <col min="14094" max="14095" width="9" style="9" customWidth="1"/>
    <col min="14096" max="14096" width="2.1796875" style="9" customWidth="1"/>
    <col min="14097" max="14098" width="9" style="9" customWidth="1"/>
    <col min="14099" max="14099" width="2.1796875" style="9" customWidth="1"/>
    <col min="14100" max="14101" width="10.1796875" style="9" customWidth="1"/>
    <col min="14102" max="14103" width="10.81640625" style="9" customWidth="1"/>
    <col min="14104" max="14104" width="31.7265625" style="9" customWidth="1"/>
    <col min="14105" max="14105" width="10.453125" style="9" bestFit="1" customWidth="1"/>
    <col min="14106" max="14335" width="9.1796875" style="9"/>
    <col min="14336" max="14336" width="5.54296875" style="9" bestFit="1" customWidth="1"/>
    <col min="14337" max="14337" width="45.81640625" style="9" customWidth="1"/>
    <col min="14338" max="14338" width="15.26953125" style="9" customWidth="1"/>
    <col min="14339" max="14339" width="9.81640625" style="9" customWidth="1"/>
    <col min="14340" max="14340" width="8.7265625" style="9" customWidth="1"/>
    <col min="14341" max="14341" width="2.1796875" style="9" customWidth="1"/>
    <col min="14342" max="14343" width="9" style="9" customWidth="1"/>
    <col min="14344" max="14344" width="2.453125" style="9" customWidth="1"/>
    <col min="14345" max="14347" width="9" style="9" customWidth="1"/>
    <col min="14348" max="14348" width="9.81640625" style="9" customWidth="1"/>
    <col min="14349" max="14349" width="2.26953125" style="9" customWidth="1"/>
    <col min="14350" max="14351" width="9" style="9" customWidth="1"/>
    <col min="14352" max="14352" width="2.1796875" style="9" customWidth="1"/>
    <col min="14353" max="14354" width="9" style="9" customWidth="1"/>
    <col min="14355" max="14355" width="2.1796875" style="9" customWidth="1"/>
    <col min="14356" max="14357" width="10.1796875" style="9" customWidth="1"/>
    <col min="14358" max="14359" width="10.81640625" style="9" customWidth="1"/>
    <col min="14360" max="14360" width="31.7265625" style="9" customWidth="1"/>
    <col min="14361" max="14361" width="10.453125" style="9" bestFit="1" customWidth="1"/>
    <col min="14362" max="14591" width="9.1796875" style="9"/>
    <col min="14592" max="14592" width="5.54296875" style="9" bestFit="1" customWidth="1"/>
    <col min="14593" max="14593" width="45.81640625" style="9" customWidth="1"/>
    <col min="14594" max="14594" width="15.26953125" style="9" customWidth="1"/>
    <col min="14595" max="14595" width="9.81640625" style="9" customWidth="1"/>
    <col min="14596" max="14596" width="8.7265625" style="9" customWidth="1"/>
    <col min="14597" max="14597" width="2.1796875" style="9" customWidth="1"/>
    <col min="14598" max="14599" width="9" style="9" customWidth="1"/>
    <col min="14600" max="14600" width="2.453125" style="9" customWidth="1"/>
    <col min="14601" max="14603" width="9" style="9" customWidth="1"/>
    <col min="14604" max="14604" width="9.81640625" style="9" customWidth="1"/>
    <col min="14605" max="14605" width="2.26953125" style="9" customWidth="1"/>
    <col min="14606" max="14607" width="9" style="9" customWidth="1"/>
    <col min="14608" max="14608" width="2.1796875" style="9" customWidth="1"/>
    <col min="14609" max="14610" width="9" style="9" customWidth="1"/>
    <col min="14611" max="14611" width="2.1796875" style="9" customWidth="1"/>
    <col min="14612" max="14613" width="10.1796875" style="9" customWidth="1"/>
    <col min="14614" max="14615" width="10.81640625" style="9" customWidth="1"/>
    <col min="14616" max="14616" width="31.7265625" style="9" customWidth="1"/>
    <col min="14617" max="14617" width="10.453125" style="9" bestFit="1" customWidth="1"/>
    <col min="14618" max="14847" width="9.1796875" style="9"/>
    <col min="14848" max="14848" width="5.54296875" style="9" bestFit="1" customWidth="1"/>
    <col min="14849" max="14849" width="45.81640625" style="9" customWidth="1"/>
    <col min="14850" max="14850" width="15.26953125" style="9" customWidth="1"/>
    <col min="14851" max="14851" width="9.81640625" style="9" customWidth="1"/>
    <col min="14852" max="14852" width="8.7265625" style="9" customWidth="1"/>
    <col min="14853" max="14853" width="2.1796875" style="9" customWidth="1"/>
    <col min="14854" max="14855" width="9" style="9" customWidth="1"/>
    <col min="14856" max="14856" width="2.453125" style="9" customWidth="1"/>
    <col min="14857" max="14859" width="9" style="9" customWidth="1"/>
    <col min="14860" max="14860" width="9.81640625" style="9" customWidth="1"/>
    <col min="14861" max="14861" width="2.26953125" style="9" customWidth="1"/>
    <col min="14862" max="14863" width="9" style="9" customWidth="1"/>
    <col min="14864" max="14864" width="2.1796875" style="9" customWidth="1"/>
    <col min="14865" max="14866" width="9" style="9" customWidth="1"/>
    <col min="14867" max="14867" width="2.1796875" style="9" customWidth="1"/>
    <col min="14868" max="14869" width="10.1796875" style="9" customWidth="1"/>
    <col min="14870" max="14871" width="10.81640625" style="9" customWidth="1"/>
    <col min="14872" max="14872" width="31.7265625" style="9" customWidth="1"/>
    <col min="14873" max="14873" width="10.453125" style="9" bestFit="1" customWidth="1"/>
    <col min="14874" max="15103" width="9.1796875" style="9"/>
    <col min="15104" max="15104" width="5.54296875" style="9" bestFit="1" customWidth="1"/>
    <col min="15105" max="15105" width="45.81640625" style="9" customWidth="1"/>
    <col min="15106" max="15106" width="15.26953125" style="9" customWidth="1"/>
    <col min="15107" max="15107" width="9.81640625" style="9" customWidth="1"/>
    <col min="15108" max="15108" width="8.7265625" style="9" customWidth="1"/>
    <col min="15109" max="15109" width="2.1796875" style="9" customWidth="1"/>
    <col min="15110" max="15111" width="9" style="9" customWidth="1"/>
    <col min="15112" max="15112" width="2.453125" style="9" customWidth="1"/>
    <col min="15113" max="15115" width="9" style="9" customWidth="1"/>
    <col min="15116" max="15116" width="9.81640625" style="9" customWidth="1"/>
    <col min="15117" max="15117" width="2.26953125" style="9" customWidth="1"/>
    <col min="15118" max="15119" width="9" style="9" customWidth="1"/>
    <col min="15120" max="15120" width="2.1796875" style="9" customWidth="1"/>
    <col min="15121" max="15122" width="9" style="9" customWidth="1"/>
    <col min="15123" max="15123" width="2.1796875" style="9" customWidth="1"/>
    <col min="15124" max="15125" width="10.1796875" style="9" customWidth="1"/>
    <col min="15126" max="15127" width="10.81640625" style="9" customWidth="1"/>
    <col min="15128" max="15128" width="31.7265625" style="9" customWidth="1"/>
    <col min="15129" max="15129" width="10.453125" style="9" bestFit="1" customWidth="1"/>
    <col min="15130" max="15359" width="9.1796875" style="9"/>
    <col min="15360" max="15360" width="5.54296875" style="9" bestFit="1" customWidth="1"/>
    <col min="15361" max="15361" width="45.81640625" style="9" customWidth="1"/>
    <col min="15362" max="15362" width="15.26953125" style="9" customWidth="1"/>
    <col min="15363" max="15363" width="9.81640625" style="9" customWidth="1"/>
    <col min="15364" max="15364" width="8.7265625" style="9" customWidth="1"/>
    <col min="15365" max="15365" width="2.1796875" style="9" customWidth="1"/>
    <col min="15366" max="15367" width="9" style="9" customWidth="1"/>
    <col min="15368" max="15368" width="2.453125" style="9" customWidth="1"/>
    <col min="15369" max="15371" width="9" style="9" customWidth="1"/>
    <col min="15372" max="15372" width="9.81640625" style="9" customWidth="1"/>
    <col min="15373" max="15373" width="2.26953125" style="9" customWidth="1"/>
    <col min="15374" max="15375" width="9" style="9" customWidth="1"/>
    <col min="15376" max="15376" width="2.1796875" style="9" customWidth="1"/>
    <col min="15377" max="15378" width="9" style="9" customWidth="1"/>
    <col min="15379" max="15379" width="2.1796875" style="9" customWidth="1"/>
    <col min="15380" max="15381" width="10.1796875" style="9" customWidth="1"/>
    <col min="15382" max="15383" width="10.81640625" style="9" customWidth="1"/>
    <col min="15384" max="15384" width="31.7265625" style="9" customWidth="1"/>
    <col min="15385" max="15385" width="10.453125" style="9" bestFit="1" customWidth="1"/>
    <col min="15386" max="15615" width="9.1796875" style="9"/>
    <col min="15616" max="15616" width="5.54296875" style="9" bestFit="1" customWidth="1"/>
    <col min="15617" max="15617" width="45.81640625" style="9" customWidth="1"/>
    <col min="15618" max="15618" width="15.26953125" style="9" customWidth="1"/>
    <col min="15619" max="15619" width="9.81640625" style="9" customWidth="1"/>
    <col min="15620" max="15620" width="8.7265625" style="9" customWidth="1"/>
    <col min="15621" max="15621" width="2.1796875" style="9" customWidth="1"/>
    <col min="15622" max="15623" width="9" style="9" customWidth="1"/>
    <col min="15624" max="15624" width="2.453125" style="9" customWidth="1"/>
    <col min="15625" max="15627" width="9" style="9" customWidth="1"/>
    <col min="15628" max="15628" width="9.81640625" style="9" customWidth="1"/>
    <col min="15629" max="15629" width="2.26953125" style="9" customWidth="1"/>
    <col min="15630" max="15631" width="9" style="9" customWidth="1"/>
    <col min="15632" max="15632" width="2.1796875" style="9" customWidth="1"/>
    <col min="15633" max="15634" width="9" style="9" customWidth="1"/>
    <col min="15635" max="15635" width="2.1796875" style="9" customWidth="1"/>
    <col min="15636" max="15637" width="10.1796875" style="9" customWidth="1"/>
    <col min="15638" max="15639" width="10.81640625" style="9" customWidth="1"/>
    <col min="15640" max="15640" width="31.7265625" style="9" customWidth="1"/>
    <col min="15641" max="15641" width="10.453125" style="9" bestFit="1" customWidth="1"/>
    <col min="15642" max="15871" width="9.1796875" style="9"/>
    <col min="15872" max="15872" width="5.54296875" style="9" bestFit="1" customWidth="1"/>
    <col min="15873" max="15873" width="45.81640625" style="9" customWidth="1"/>
    <col min="15874" max="15874" width="15.26953125" style="9" customWidth="1"/>
    <col min="15875" max="15875" width="9.81640625" style="9" customWidth="1"/>
    <col min="15876" max="15876" width="8.7265625" style="9" customWidth="1"/>
    <col min="15877" max="15877" width="2.1796875" style="9" customWidth="1"/>
    <col min="15878" max="15879" width="9" style="9" customWidth="1"/>
    <col min="15880" max="15880" width="2.453125" style="9" customWidth="1"/>
    <col min="15881" max="15883" width="9" style="9" customWidth="1"/>
    <col min="15884" max="15884" width="9.81640625" style="9" customWidth="1"/>
    <col min="15885" max="15885" width="2.26953125" style="9" customWidth="1"/>
    <col min="15886" max="15887" width="9" style="9" customWidth="1"/>
    <col min="15888" max="15888" width="2.1796875" style="9" customWidth="1"/>
    <col min="15889" max="15890" width="9" style="9" customWidth="1"/>
    <col min="15891" max="15891" width="2.1796875" style="9" customWidth="1"/>
    <col min="15892" max="15893" width="10.1796875" style="9" customWidth="1"/>
    <col min="15894" max="15895" width="10.81640625" style="9" customWidth="1"/>
    <col min="15896" max="15896" width="31.7265625" style="9" customWidth="1"/>
    <col min="15897" max="15897" width="10.453125" style="9" bestFit="1" customWidth="1"/>
    <col min="15898" max="16127" width="9.1796875" style="9"/>
    <col min="16128" max="16128" width="5.54296875" style="9" bestFit="1" customWidth="1"/>
    <col min="16129" max="16129" width="45.81640625" style="9" customWidth="1"/>
    <col min="16130" max="16130" width="15.26953125" style="9" customWidth="1"/>
    <col min="16131" max="16131" width="9.81640625" style="9" customWidth="1"/>
    <col min="16132" max="16132" width="8.7265625" style="9" customWidth="1"/>
    <col min="16133" max="16133" width="2.1796875" style="9" customWidth="1"/>
    <col min="16134" max="16135" width="9" style="9" customWidth="1"/>
    <col min="16136" max="16136" width="2.453125" style="9" customWidth="1"/>
    <col min="16137" max="16139" width="9" style="9" customWidth="1"/>
    <col min="16140" max="16140" width="9.81640625" style="9" customWidth="1"/>
    <col min="16141" max="16141" width="2.26953125" style="9" customWidth="1"/>
    <col min="16142" max="16143" width="9" style="9" customWidth="1"/>
    <col min="16144" max="16144" width="2.1796875" style="9" customWidth="1"/>
    <col min="16145" max="16146" width="9" style="9" customWidth="1"/>
    <col min="16147" max="16147" width="2.1796875" style="9" customWidth="1"/>
    <col min="16148" max="16149" width="10.1796875" style="9" customWidth="1"/>
    <col min="16150" max="16151" width="10.81640625" style="9" customWidth="1"/>
    <col min="16152" max="16152" width="31.7265625" style="9" customWidth="1"/>
    <col min="16153" max="16153" width="10.453125" style="9" bestFit="1" customWidth="1"/>
    <col min="16154" max="16384" width="9.1796875" style="9"/>
  </cols>
  <sheetData>
    <row r="1" spans="1:34" ht="20.25" customHeight="1" x14ac:dyDescent="0.55000000000000004">
      <c r="A1" s="104">
        <v>60910200</v>
      </c>
      <c r="B1" s="104"/>
      <c r="C1" s="103" t="s">
        <v>47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37" t="s">
        <v>46</v>
      </c>
      <c r="AA1" s="87" t="s">
        <v>49</v>
      </c>
      <c r="AH1" s="85" t="s">
        <v>49</v>
      </c>
    </row>
    <row r="2" spans="1:34" ht="18" customHeight="1" x14ac:dyDescent="0.55000000000000004">
      <c r="A2" s="106" t="s">
        <v>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27"/>
      <c r="AH2" s="85" t="s">
        <v>48</v>
      </c>
    </row>
    <row r="3" spans="1:34" ht="21.75" customHeight="1" x14ac:dyDescent="0.4">
      <c r="A3" s="106" t="s">
        <v>54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27"/>
    </row>
    <row r="4" spans="1:34" x14ac:dyDescent="0.4">
      <c r="A4" s="107" t="s">
        <v>50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27"/>
    </row>
    <row r="5" spans="1:34" x14ac:dyDescent="0.4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27"/>
    </row>
    <row r="6" spans="1:34" x14ac:dyDescent="0.4">
      <c r="A6" s="106" t="s">
        <v>53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27"/>
    </row>
    <row r="7" spans="1:34" ht="11.25" customHeight="1" x14ac:dyDescent="0.4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</row>
    <row r="8" spans="1:34" x14ac:dyDescent="0.4">
      <c r="A8" s="108" t="s">
        <v>2</v>
      </c>
      <c r="B8" s="108"/>
      <c r="C8" s="109" t="s">
        <v>30</v>
      </c>
      <c r="D8" s="109"/>
      <c r="E8" s="109"/>
      <c r="F8" s="109"/>
      <c r="G8" s="109"/>
      <c r="H8" s="109"/>
      <c r="I8" s="28"/>
      <c r="J8" s="28"/>
      <c r="K8" s="28"/>
      <c r="L8" s="28"/>
      <c r="M8" s="28"/>
      <c r="N8" s="29">
        <v>3</v>
      </c>
      <c r="O8" s="30" t="s">
        <v>3</v>
      </c>
      <c r="P8" s="28" t="s">
        <v>4</v>
      </c>
      <c r="Q8" s="29">
        <v>6</v>
      </c>
      <c r="R8" s="27" t="s">
        <v>3</v>
      </c>
      <c r="S8" s="109" t="s">
        <v>5</v>
      </c>
      <c r="T8" s="109"/>
      <c r="U8" s="28"/>
      <c r="V8" s="28"/>
      <c r="W8" s="28" t="s">
        <v>51</v>
      </c>
      <c r="X8" s="31" t="s">
        <v>6</v>
      </c>
    </row>
    <row r="9" spans="1:34" ht="11.25" customHeight="1" x14ac:dyDescent="0.4">
      <c r="A9" s="32"/>
      <c r="B9" s="32"/>
      <c r="C9" s="31"/>
      <c r="D9" s="31"/>
      <c r="E9" s="31"/>
      <c r="F9" s="31"/>
      <c r="G9" s="31"/>
      <c r="H9" s="31"/>
      <c r="I9" s="28"/>
      <c r="J9" s="28"/>
      <c r="K9" s="28"/>
      <c r="L9" s="28"/>
      <c r="M9" s="28"/>
      <c r="N9" s="29"/>
      <c r="O9" s="30"/>
      <c r="P9" s="28"/>
      <c r="Q9" s="29"/>
      <c r="R9" s="27"/>
      <c r="S9" s="31"/>
      <c r="T9" s="31"/>
      <c r="U9" s="28"/>
      <c r="V9" s="28"/>
      <c r="W9" s="28"/>
      <c r="X9" s="31"/>
    </row>
    <row r="10" spans="1:34" x14ac:dyDescent="0.4">
      <c r="A10" s="108" t="s">
        <v>41</v>
      </c>
      <c r="B10" s="108"/>
      <c r="C10" s="110"/>
      <c r="D10" s="110"/>
      <c r="E10" s="110"/>
      <c r="F10" s="110"/>
      <c r="G10" s="110"/>
      <c r="H10" s="110"/>
      <c r="I10" s="33"/>
      <c r="J10" s="33"/>
      <c r="K10" s="33"/>
      <c r="L10" s="33"/>
      <c r="M10" s="33"/>
      <c r="N10" s="33"/>
      <c r="O10" s="34"/>
      <c r="P10" s="111" t="s">
        <v>7</v>
      </c>
      <c r="Q10" s="111"/>
      <c r="R10" s="111"/>
      <c r="S10" s="111"/>
      <c r="T10" s="111"/>
      <c r="U10" s="105"/>
      <c r="V10" s="105"/>
      <c r="W10" s="105"/>
      <c r="X10" s="105"/>
    </row>
    <row r="11" spans="1:34" ht="22.5" customHeight="1" x14ac:dyDescent="0.4">
      <c r="A11" s="112" t="s">
        <v>8</v>
      </c>
      <c r="B11" s="112"/>
      <c r="C11" s="113"/>
      <c r="D11" s="113"/>
      <c r="E11" s="113"/>
      <c r="F11" s="113"/>
      <c r="G11" s="113"/>
      <c r="H11" s="113"/>
      <c r="I11" s="35"/>
      <c r="J11" s="35"/>
      <c r="K11" s="35"/>
      <c r="L11" s="35"/>
      <c r="M11" s="35"/>
      <c r="N11" s="35"/>
      <c r="P11" s="114" t="s">
        <v>7</v>
      </c>
      <c r="Q11" s="114"/>
      <c r="R11" s="114"/>
      <c r="S11" s="114"/>
      <c r="T11" s="114"/>
      <c r="U11" s="115"/>
      <c r="V11" s="115"/>
      <c r="W11" s="115"/>
      <c r="X11" s="115"/>
    </row>
    <row r="12" spans="1:34" x14ac:dyDescent="0.4">
      <c r="A12" s="23"/>
      <c r="B12" s="23"/>
      <c r="D12" s="23"/>
      <c r="E12" s="36"/>
      <c r="F12" s="23"/>
      <c r="G12" s="23"/>
      <c r="H12" s="23"/>
      <c r="J12" s="23"/>
      <c r="K12" s="23"/>
      <c r="L12" s="23"/>
      <c r="P12" s="114" t="s">
        <v>7</v>
      </c>
      <c r="Q12" s="114"/>
      <c r="R12" s="114"/>
      <c r="S12" s="114"/>
      <c r="T12" s="114"/>
      <c r="U12" s="115"/>
      <c r="V12" s="115"/>
      <c r="W12" s="115"/>
      <c r="X12" s="115"/>
    </row>
    <row r="13" spans="1:34" ht="21.75" customHeight="1" x14ac:dyDescent="0.4">
      <c r="A13" s="116" t="s">
        <v>35</v>
      </c>
      <c r="B13" s="116"/>
      <c r="C13" s="116"/>
      <c r="D13" s="78">
        <v>0</v>
      </c>
      <c r="E13" s="37" t="s">
        <v>9</v>
      </c>
      <c r="F13" s="37"/>
      <c r="G13" s="78">
        <v>0</v>
      </c>
      <c r="H13" s="38"/>
      <c r="I13" s="38"/>
      <c r="J13" s="38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37"/>
    </row>
    <row r="14" spans="1:34" s="42" customFormat="1" ht="11.25" customHeight="1" thickBot="1" x14ac:dyDescent="0.4">
      <c r="A14" s="39"/>
      <c r="B14" s="39"/>
      <c r="C14" s="40"/>
      <c r="D14" s="41"/>
      <c r="E14" s="41"/>
      <c r="F14" s="41"/>
      <c r="G14" s="41"/>
      <c r="K14" s="41"/>
      <c r="L14" s="41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1"/>
      <c r="Y14" s="41"/>
      <c r="Z14" s="41"/>
      <c r="AA14" s="41"/>
    </row>
    <row r="15" spans="1:34" ht="28.5" customHeight="1" x14ac:dyDescent="0.4">
      <c r="A15" s="118" t="s">
        <v>10</v>
      </c>
      <c r="B15" s="121" t="s">
        <v>29</v>
      </c>
      <c r="C15" s="124" t="s">
        <v>34</v>
      </c>
      <c r="D15" s="127" t="s">
        <v>14</v>
      </c>
      <c r="E15" s="127"/>
      <c r="F15" s="127"/>
      <c r="G15" s="127"/>
      <c r="H15" s="127"/>
      <c r="I15" s="127"/>
      <c r="J15" s="127"/>
      <c r="K15" s="127"/>
      <c r="L15" s="127"/>
      <c r="M15" s="127"/>
      <c r="N15" s="128"/>
      <c r="O15" s="131"/>
      <c r="P15" s="134" t="s">
        <v>11</v>
      </c>
      <c r="Q15" s="135"/>
      <c r="R15" s="135"/>
      <c r="S15" s="135"/>
      <c r="T15" s="136"/>
      <c r="U15" s="140"/>
      <c r="V15" s="143" t="s">
        <v>12</v>
      </c>
      <c r="W15" s="145" t="s">
        <v>33</v>
      </c>
      <c r="X15" s="149" t="s">
        <v>13</v>
      </c>
      <c r="Y15" s="152"/>
    </row>
    <row r="16" spans="1:34" ht="31.5" customHeight="1" thickBot="1" x14ac:dyDescent="0.45">
      <c r="A16" s="119"/>
      <c r="B16" s="122"/>
      <c r="C16" s="125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30"/>
      <c r="O16" s="132"/>
      <c r="P16" s="137"/>
      <c r="Q16" s="138"/>
      <c r="R16" s="138"/>
      <c r="S16" s="138"/>
      <c r="T16" s="139"/>
      <c r="U16" s="141"/>
      <c r="V16" s="144"/>
      <c r="W16" s="146"/>
      <c r="X16" s="150"/>
      <c r="Y16" s="153"/>
    </row>
    <row r="17" spans="1:25" ht="23.25" customHeight="1" x14ac:dyDescent="0.4">
      <c r="A17" s="119"/>
      <c r="B17" s="122"/>
      <c r="C17" s="125"/>
      <c r="D17" s="154" t="s">
        <v>37</v>
      </c>
      <c r="E17" s="155"/>
      <c r="F17" s="156"/>
      <c r="G17" s="159" t="s">
        <v>32</v>
      </c>
      <c r="H17" s="149"/>
      <c r="I17" s="156"/>
      <c r="J17" s="154" t="s">
        <v>15</v>
      </c>
      <c r="K17" s="155"/>
      <c r="L17" s="1"/>
      <c r="M17" s="159" t="s">
        <v>42</v>
      </c>
      <c r="N17" s="149"/>
      <c r="O17" s="132"/>
      <c r="P17" s="154" t="s">
        <v>16</v>
      </c>
      <c r="Q17" s="155"/>
      <c r="R17" s="156"/>
      <c r="S17" s="154" t="s">
        <v>17</v>
      </c>
      <c r="T17" s="155"/>
      <c r="U17" s="141"/>
      <c r="V17" s="144"/>
      <c r="W17" s="146"/>
      <c r="X17" s="150"/>
      <c r="Y17" s="153"/>
    </row>
    <row r="18" spans="1:25" ht="23.25" customHeight="1" x14ac:dyDescent="0.4">
      <c r="A18" s="119"/>
      <c r="B18" s="122"/>
      <c r="C18" s="125"/>
      <c r="D18" s="24" t="s">
        <v>18</v>
      </c>
      <c r="E18" s="3" t="s">
        <v>19</v>
      </c>
      <c r="F18" s="157"/>
      <c r="G18" s="2" t="s">
        <v>18</v>
      </c>
      <c r="H18" s="3" t="s">
        <v>19</v>
      </c>
      <c r="I18" s="157"/>
      <c r="J18" s="2" t="s">
        <v>18</v>
      </c>
      <c r="K18" s="3" t="s">
        <v>19</v>
      </c>
      <c r="L18" s="26"/>
      <c r="M18" s="4" t="s">
        <v>19</v>
      </c>
      <c r="N18" s="3" t="s">
        <v>18</v>
      </c>
      <c r="O18" s="132"/>
      <c r="P18" s="2" t="s">
        <v>18</v>
      </c>
      <c r="Q18" s="3" t="s">
        <v>19</v>
      </c>
      <c r="R18" s="157"/>
      <c r="S18" s="2" t="s">
        <v>18</v>
      </c>
      <c r="T18" s="3" t="s">
        <v>19</v>
      </c>
      <c r="U18" s="141"/>
      <c r="V18" s="144"/>
      <c r="W18" s="146"/>
      <c r="X18" s="150"/>
      <c r="Y18" s="153"/>
    </row>
    <row r="19" spans="1:25" ht="20.25" customHeight="1" thickBot="1" x14ac:dyDescent="0.45">
      <c r="A19" s="120"/>
      <c r="B19" s="123"/>
      <c r="C19" s="126"/>
      <c r="D19" s="160">
        <v>50</v>
      </c>
      <c r="E19" s="148"/>
      <c r="F19" s="158"/>
      <c r="G19" s="161">
        <v>20</v>
      </c>
      <c r="H19" s="151"/>
      <c r="I19" s="158"/>
      <c r="J19" s="147">
        <v>0</v>
      </c>
      <c r="K19" s="148"/>
      <c r="L19" s="8"/>
      <c r="M19" s="162">
        <f>D19+J19+G19</f>
        <v>70</v>
      </c>
      <c r="N19" s="163"/>
      <c r="O19" s="133"/>
      <c r="P19" s="147">
        <v>0</v>
      </c>
      <c r="Q19" s="148"/>
      <c r="R19" s="158"/>
      <c r="S19" s="147">
        <v>30</v>
      </c>
      <c r="T19" s="148"/>
      <c r="U19" s="142"/>
      <c r="V19" s="44">
        <f>M19+P19+S19</f>
        <v>100</v>
      </c>
      <c r="W19" s="146"/>
      <c r="X19" s="151"/>
      <c r="Y19" s="153"/>
    </row>
    <row r="20" spans="1:25" s="48" customFormat="1" x14ac:dyDescent="0.4">
      <c r="A20" s="45">
        <v>1</v>
      </c>
      <c r="B20" s="46"/>
      <c r="C20" s="79"/>
      <c r="D20" s="82"/>
      <c r="E20" s="17">
        <f>IF(D20&gt;=60,IF($AA$1="Topshiriqsiz",D20*$D$19/100,ROUND(D20*$D$19/100,0.1)),0)</f>
        <v>0</v>
      </c>
      <c r="F20" s="86"/>
      <c r="G20" s="82"/>
      <c r="H20" s="17">
        <f>IF(G20&gt;=60,IF($AA$1="Topshiriqsiz",G20*$G$19/100,ROUND(G20*$G$19/100,0.1)),0)</f>
        <v>0</v>
      </c>
      <c r="I20" s="86"/>
      <c r="J20" s="47"/>
      <c r="K20" s="17"/>
      <c r="L20" s="97"/>
      <c r="M20" s="94">
        <f>IF(OR(D20&lt;60,G20&lt;60),0,ROUND(E20+H20,0.1))</f>
        <v>0</v>
      </c>
      <c r="N20" s="88">
        <f t="shared" ref="N20" si="0">M20/$M$19</f>
        <v>0</v>
      </c>
      <c r="O20" s="86"/>
      <c r="P20" s="47"/>
      <c r="Q20" s="17">
        <f>IF(P20&gt;=60,P20*$P$19/100,0)</f>
        <v>0</v>
      </c>
      <c r="R20" s="86"/>
      <c r="S20" s="82"/>
      <c r="T20" s="17">
        <f>IF(S20&gt;=60,S20*$S$19/100,0)</f>
        <v>0</v>
      </c>
      <c r="U20" s="86"/>
      <c r="V20" s="5" t="str">
        <f>IF(OR(AND(D$19&gt;0,D20=""),AND(G$19&gt;0,G20=""),B20=""),"",IF(N20&lt;60%,-2,IF(AND(N20&gt;=60%,OR(AND(P$19&gt;0,P20=0),AND(S$19&gt;0,S20=0))),-1,IF(AND(N20&gt;=60%,OR(AND(P$19&gt;0,P20&gt;0,P20&lt;60),AND(S$19&gt;0,S20&gt;0,S20&lt;60))),0,IF(OR(AND(D$19&gt;0,D20&lt;60),AND(G$19&gt;0,G20&lt;60),AND(J$19&gt;0,J20&lt;60),AND(P$19&gt;0,P20&lt;60),AND(S$19&gt;0,S20&lt;60)),0,ROUND(IF(D$19&gt;0,E20,0)+IF(G$19&gt;0,H20,0)+IF(J$19&gt;0,K20,0)+IF(P$19&gt;0,Q20,0)+IF(S$19&gt;0,T20,0),0.1))))))</f>
        <v/>
      </c>
      <c r="W20" s="98" t="str">
        <f>IF(V20="","",IF((V20&gt;=90)*(V20&lt;=100),"A",IF(V20&gt;=85,"B+", IF(V20&gt;=70,"B",IF(V20&gt;=60,"C",IF((V20&gt;=0)*(V20&lt;=60),"F",IF(V20=-1,"",IF(V20=0,"","FX"))))))))</f>
        <v/>
      </c>
      <c r="X20" s="5"/>
      <c r="Y20" s="5" t="str">
        <f>IF(B20=0,"",IF((V20&gt;=90)*(V20&lt;=100),"aʼlo",IF((V20&gt;=70)*(V20&lt;=89.9),"yaxshi",IF((V20&gt;=60)*(V20&lt;=69.9),"oʻrta",IF((V20&gt;=0)*(V20&lt;=59.9),"qon-siz",IF(V20=-1,"kelmadi",IF(V20=-2,"qoʻyilmadi","")))))))</f>
        <v/>
      </c>
    </row>
    <row r="21" spans="1:25" s="48" customFormat="1" x14ac:dyDescent="0.4">
      <c r="A21" s="49">
        <v>2</v>
      </c>
      <c r="B21" s="50"/>
      <c r="C21" s="80"/>
      <c r="D21" s="83"/>
      <c r="E21" s="18">
        <f t="shared" ref="E21:E49" si="1">IF(D21&gt;=60,IF($AA$1="Topshiriqsiz",D21*$D$19/100,ROUND(D21*$D$19/100,0.1)),0)</f>
        <v>0</v>
      </c>
      <c r="F21" s="10"/>
      <c r="G21" s="83"/>
      <c r="H21" s="18">
        <f t="shared" ref="H21:H49" si="2">IF(G21&gt;=60,IF($AA$1="Topshiriqsiz",G21*$G$19/100,ROUND(G21*$G$19/100,0.1)),0)</f>
        <v>0</v>
      </c>
      <c r="I21" s="10"/>
      <c r="J21" s="51"/>
      <c r="K21" s="18"/>
      <c r="L21" s="99"/>
      <c r="M21" s="95">
        <f t="shared" ref="M21:M49" si="3">IF(OR(D21&lt;60,G21&lt;60),0,ROUND(E21+H21,0.1))</f>
        <v>0</v>
      </c>
      <c r="N21" s="90">
        <f t="shared" ref="N21:N49" si="4">M21/$M$19</f>
        <v>0</v>
      </c>
      <c r="O21" s="10"/>
      <c r="P21" s="51"/>
      <c r="Q21" s="18">
        <f t="shared" ref="Q21:Q49" si="5">IF(P21&gt;=60,P21*$P$19/100,0)</f>
        <v>0</v>
      </c>
      <c r="R21" s="10"/>
      <c r="S21" s="83"/>
      <c r="T21" s="18">
        <f t="shared" ref="T21:T49" si="6">IF(S21&gt;=60,S21*$S$19/100,0)</f>
        <v>0</v>
      </c>
      <c r="U21" s="10"/>
      <c r="V21" s="6" t="str">
        <f t="shared" ref="V21:V49" si="7">IF(OR(AND(D$19&gt;0,D21=""),AND(G$19&gt;0,G21=""),B21=""),"",IF(N21&lt;60%,-2,IF(AND(N21&gt;=60%,OR(AND(P$19&gt;0,P21=0),AND(S$19&gt;0,S21=0))),-1,IF(AND(N21&gt;=60%,OR(AND(P$19&gt;0,P21&gt;0,P21&lt;60),AND(S$19&gt;0,S21&gt;0,S21&lt;60))),0,IF(OR(AND(D$19&gt;0,D21&lt;60),AND(G$19&gt;0,G21&lt;60),AND(J$19&gt;0,J21&lt;60),AND(P$19&gt;0,P21&lt;60),AND(S$19&gt;0,S21&lt;60)),0,ROUND(IF(D$19&gt;0,E21,0)+IF(G$19&gt;0,H21,0)+IF(J$19&gt;0,K21,0)+IF(P$19&gt;0,Q21,0)+IF(S$19&gt;0,T21,0),0.1))))))</f>
        <v/>
      </c>
      <c r="W21" s="100" t="str">
        <f t="shared" ref="W21:W49" si="8">IF(V21="","",IF((V21&gt;=90)*(V21&lt;=100),"A",IF(V21&gt;=85,"B+", IF(V21&gt;=70,"B",IF(V21&gt;=60,"C",IF((V21&gt;=0)*(V21&lt;=60),"F",IF(V21=-1,"",IF(V21=0,"","FX"))))))))</f>
        <v/>
      </c>
      <c r="X21" s="6"/>
      <c r="Y21" s="6" t="str">
        <f t="shared" ref="Y21:Y49" si="9">IF(B21=0,"",IF((V21&gt;=90)*(V21&lt;=100),"aʼlo",IF((V21&gt;=70)*(V21&lt;=89.9),"yaxshi",IF((V21&gt;=60)*(V21&lt;=69.9),"oʻrta",IF((V21&gt;=0)*(V21&lt;=59.9),"qon-siz",IF(V21=-1,"kelmadi",IF(V21=-2,"qoʻyilmadi","")))))))</f>
        <v/>
      </c>
    </row>
    <row r="22" spans="1:25" x14ac:dyDescent="0.4">
      <c r="A22" s="49">
        <v>3</v>
      </c>
      <c r="B22" s="50"/>
      <c r="C22" s="80"/>
      <c r="D22" s="83"/>
      <c r="E22" s="18">
        <f t="shared" si="1"/>
        <v>0</v>
      </c>
      <c r="F22" s="10"/>
      <c r="G22" s="83"/>
      <c r="H22" s="18">
        <f t="shared" si="2"/>
        <v>0</v>
      </c>
      <c r="I22" s="10"/>
      <c r="J22" s="51"/>
      <c r="K22" s="18"/>
      <c r="L22" s="99"/>
      <c r="M22" s="95">
        <f t="shared" si="3"/>
        <v>0</v>
      </c>
      <c r="N22" s="90">
        <f t="shared" si="4"/>
        <v>0</v>
      </c>
      <c r="O22" s="10"/>
      <c r="P22" s="51"/>
      <c r="Q22" s="18">
        <f t="shared" si="5"/>
        <v>0</v>
      </c>
      <c r="R22" s="10"/>
      <c r="S22" s="83"/>
      <c r="T22" s="18">
        <f t="shared" si="6"/>
        <v>0</v>
      </c>
      <c r="U22" s="10"/>
      <c r="V22" s="6" t="str">
        <f t="shared" si="7"/>
        <v/>
      </c>
      <c r="W22" s="100" t="str">
        <f t="shared" si="8"/>
        <v/>
      </c>
      <c r="X22" s="6"/>
      <c r="Y22" s="6" t="str">
        <f t="shared" si="9"/>
        <v/>
      </c>
    </row>
    <row r="23" spans="1:25" x14ac:dyDescent="0.4">
      <c r="A23" s="49">
        <v>4</v>
      </c>
      <c r="B23" s="50"/>
      <c r="C23" s="80"/>
      <c r="D23" s="83"/>
      <c r="E23" s="18">
        <f t="shared" si="1"/>
        <v>0</v>
      </c>
      <c r="F23" s="10"/>
      <c r="G23" s="83"/>
      <c r="H23" s="18">
        <f t="shared" si="2"/>
        <v>0</v>
      </c>
      <c r="I23" s="10"/>
      <c r="J23" s="51"/>
      <c r="K23" s="18"/>
      <c r="L23" s="99"/>
      <c r="M23" s="95">
        <f t="shared" si="3"/>
        <v>0</v>
      </c>
      <c r="N23" s="90">
        <f t="shared" si="4"/>
        <v>0</v>
      </c>
      <c r="O23" s="10"/>
      <c r="P23" s="51"/>
      <c r="Q23" s="18">
        <f t="shared" si="5"/>
        <v>0</v>
      </c>
      <c r="R23" s="10"/>
      <c r="S23" s="83"/>
      <c r="T23" s="18">
        <f t="shared" si="6"/>
        <v>0</v>
      </c>
      <c r="U23" s="10"/>
      <c r="V23" s="6" t="str">
        <f t="shared" si="7"/>
        <v/>
      </c>
      <c r="W23" s="100" t="str">
        <f t="shared" si="8"/>
        <v/>
      </c>
      <c r="X23" s="6"/>
      <c r="Y23" s="6" t="str">
        <f t="shared" si="9"/>
        <v/>
      </c>
    </row>
    <row r="24" spans="1:25" x14ac:dyDescent="0.4">
      <c r="A24" s="49">
        <v>5</v>
      </c>
      <c r="B24" s="50"/>
      <c r="C24" s="80"/>
      <c r="D24" s="83"/>
      <c r="E24" s="18">
        <f t="shared" si="1"/>
        <v>0</v>
      </c>
      <c r="F24" s="10"/>
      <c r="G24" s="83"/>
      <c r="H24" s="18">
        <f t="shared" si="2"/>
        <v>0</v>
      </c>
      <c r="I24" s="10"/>
      <c r="J24" s="51"/>
      <c r="K24" s="18"/>
      <c r="L24" s="99"/>
      <c r="M24" s="95">
        <f t="shared" si="3"/>
        <v>0</v>
      </c>
      <c r="N24" s="90">
        <f t="shared" si="4"/>
        <v>0</v>
      </c>
      <c r="O24" s="10"/>
      <c r="P24" s="51"/>
      <c r="Q24" s="18">
        <f t="shared" si="5"/>
        <v>0</v>
      </c>
      <c r="R24" s="10"/>
      <c r="S24" s="83"/>
      <c r="T24" s="18">
        <f t="shared" si="6"/>
        <v>0</v>
      </c>
      <c r="U24" s="10"/>
      <c r="V24" s="6" t="str">
        <f t="shared" si="7"/>
        <v/>
      </c>
      <c r="W24" s="100" t="str">
        <f t="shared" si="8"/>
        <v/>
      </c>
      <c r="X24" s="6"/>
      <c r="Y24" s="6" t="str">
        <f t="shared" si="9"/>
        <v/>
      </c>
    </row>
    <row r="25" spans="1:25" x14ac:dyDescent="0.4">
      <c r="A25" s="49">
        <v>6</v>
      </c>
      <c r="B25" s="50"/>
      <c r="C25" s="80"/>
      <c r="D25" s="83"/>
      <c r="E25" s="18">
        <f t="shared" si="1"/>
        <v>0</v>
      </c>
      <c r="F25" s="10"/>
      <c r="G25" s="83"/>
      <c r="H25" s="18">
        <f t="shared" si="2"/>
        <v>0</v>
      </c>
      <c r="I25" s="10"/>
      <c r="J25" s="51"/>
      <c r="K25" s="18"/>
      <c r="L25" s="99"/>
      <c r="M25" s="95">
        <f t="shared" si="3"/>
        <v>0</v>
      </c>
      <c r="N25" s="90">
        <f t="shared" si="4"/>
        <v>0</v>
      </c>
      <c r="O25" s="10"/>
      <c r="P25" s="51"/>
      <c r="Q25" s="18">
        <f t="shared" si="5"/>
        <v>0</v>
      </c>
      <c r="R25" s="10"/>
      <c r="S25" s="83"/>
      <c r="T25" s="18">
        <f t="shared" si="6"/>
        <v>0</v>
      </c>
      <c r="U25" s="10"/>
      <c r="V25" s="6" t="str">
        <f t="shared" si="7"/>
        <v/>
      </c>
      <c r="W25" s="100" t="str">
        <f t="shared" si="8"/>
        <v/>
      </c>
      <c r="X25" s="6"/>
      <c r="Y25" s="6" t="str">
        <f t="shared" si="9"/>
        <v/>
      </c>
    </row>
    <row r="26" spans="1:25" x14ac:dyDescent="0.4">
      <c r="A26" s="49">
        <v>7</v>
      </c>
      <c r="B26" s="50"/>
      <c r="C26" s="80"/>
      <c r="D26" s="83"/>
      <c r="E26" s="18">
        <f t="shared" si="1"/>
        <v>0</v>
      </c>
      <c r="F26" s="10"/>
      <c r="G26" s="83"/>
      <c r="H26" s="18">
        <f t="shared" si="2"/>
        <v>0</v>
      </c>
      <c r="I26" s="10"/>
      <c r="J26" s="51"/>
      <c r="K26" s="18"/>
      <c r="L26" s="99"/>
      <c r="M26" s="95">
        <f t="shared" si="3"/>
        <v>0</v>
      </c>
      <c r="N26" s="90">
        <f t="shared" si="4"/>
        <v>0</v>
      </c>
      <c r="O26" s="10"/>
      <c r="P26" s="51"/>
      <c r="Q26" s="18">
        <f t="shared" si="5"/>
        <v>0</v>
      </c>
      <c r="R26" s="10"/>
      <c r="S26" s="83"/>
      <c r="T26" s="18">
        <f t="shared" si="6"/>
        <v>0</v>
      </c>
      <c r="U26" s="10"/>
      <c r="V26" s="6" t="str">
        <f t="shared" si="7"/>
        <v/>
      </c>
      <c r="W26" s="100" t="str">
        <f t="shared" si="8"/>
        <v/>
      </c>
      <c r="X26" s="6"/>
      <c r="Y26" s="6" t="str">
        <f t="shared" si="9"/>
        <v/>
      </c>
    </row>
    <row r="27" spans="1:25" x14ac:dyDescent="0.4">
      <c r="A27" s="49">
        <v>8</v>
      </c>
      <c r="B27" s="50"/>
      <c r="C27" s="80"/>
      <c r="D27" s="83"/>
      <c r="E27" s="18">
        <f t="shared" si="1"/>
        <v>0</v>
      </c>
      <c r="F27" s="10"/>
      <c r="G27" s="83"/>
      <c r="H27" s="18">
        <f t="shared" si="2"/>
        <v>0</v>
      </c>
      <c r="I27" s="10"/>
      <c r="J27" s="51"/>
      <c r="K27" s="18"/>
      <c r="L27" s="99"/>
      <c r="M27" s="95">
        <f t="shared" si="3"/>
        <v>0</v>
      </c>
      <c r="N27" s="90">
        <f t="shared" si="4"/>
        <v>0</v>
      </c>
      <c r="O27" s="10"/>
      <c r="P27" s="51"/>
      <c r="Q27" s="18">
        <f t="shared" si="5"/>
        <v>0</v>
      </c>
      <c r="R27" s="10"/>
      <c r="S27" s="83"/>
      <c r="T27" s="18">
        <f t="shared" si="6"/>
        <v>0</v>
      </c>
      <c r="U27" s="10"/>
      <c r="V27" s="6" t="str">
        <f t="shared" si="7"/>
        <v/>
      </c>
      <c r="W27" s="100" t="str">
        <f t="shared" si="8"/>
        <v/>
      </c>
      <c r="X27" s="6"/>
      <c r="Y27" s="6" t="str">
        <f t="shared" si="9"/>
        <v/>
      </c>
    </row>
    <row r="28" spans="1:25" x14ac:dyDescent="0.4">
      <c r="A28" s="49">
        <v>9</v>
      </c>
      <c r="B28" s="50"/>
      <c r="C28" s="80"/>
      <c r="D28" s="83"/>
      <c r="E28" s="18">
        <f t="shared" si="1"/>
        <v>0</v>
      </c>
      <c r="F28" s="10"/>
      <c r="G28" s="83"/>
      <c r="H28" s="18">
        <f t="shared" si="2"/>
        <v>0</v>
      </c>
      <c r="I28" s="10"/>
      <c r="J28" s="51"/>
      <c r="K28" s="18"/>
      <c r="L28" s="99"/>
      <c r="M28" s="95">
        <f t="shared" si="3"/>
        <v>0</v>
      </c>
      <c r="N28" s="90">
        <f t="shared" si="4"/>
        <v>0</v>
      </c>
      <c r="O28" s="10"/>
      <c r="P28" s="51"/>
      <c r="Q28" s="18">
        <f t="shared" si="5"/>
        <v>0</v>
      </c>
      <c r="R28" s="10"/>
      <c r="S28" s="83"/>
      <c r="T28" s="18">
        <f t="shared" si="6"/>
        <v>0</v>
      </c>
      <c r="U28" s="10"/>
      <c r="V28" s="6" t="str">
        <f t="shared" si="7"/>
        <v/>
      </c>
      <c r="W28" s="100" t="str">
        <f t="shared" si="8"/>
        <v/>
      </c>
      <c r="X28" s="6"/>
      <c r="Y28" s="6" t="str">
        <f t="shared" si="9"/>
        <v/>
      </c>
    </row>
    <row r="29" spans="1:25" x14ac:dyDescent="0.4">
      <c r="A29" s="49">
        <v>10</v>
      </c>
      <c r="B29" s="50"/>
      <c r="C29" s="80"/>
      <c r="D29" s="83"/>
      <c r="E29" s="18">
        <f t="shared" si="1"/>
        <v>0</v>
      </c>
      <c r="F29" s="10"/>
      <c r="G29" s="83"/>
      <c r="H29" s="18">
        <f t="shared" si="2"/>
        <v>0</v>
      </c>
      <c r="I29" s="10"/>
      <c r="J29" s="51"/>
      <c r="K29" s="18"/>
      <c r="L29" s="99"/>
      <c r="M29" s="95">
        <f t="shared" si="3"/>
        <v>0</v>
      </c>
      <c r="N29" s="90">
        <f t="shared" si="4"/>
        <v>0</v>
      </c>
      <c r="O29" s="10"/>
      <c r="P29" s="51"/>
      <c r="Q29" s="18">
        <f t="shared" si="5"/>
        <v>0</v>
      </c>
      <c r="R29" s="10"/>
      <c r="S29" s="83"/>
      <c r="T29" s="18">
        <f t="shared" si="6"/>
        <v>0</v>
      </c>
      <c r="U29" s="10"/>
      <c r="V29" s="6" t="str">
        <f t="shared" si="7"/>
        <v/>
      </c>
      <c r="W29" s="100" t="str">
        <f t="shared" si="8"/>
        <v/>
      </c>
      <c r="X29" s="6"/>
      <c r="Y29" s="6" t="str">
        <f t="shared" si="9"/>
        <v/>
      </c>
    </row>
    <row r="30" spans="1:25" x14ac:dyDescent="0.4">
      <c r="A30" s="49">
        <v>11</v>
      </c>
      <c r="B30" s="50"/>
      <c r="C30" s="80"/>
      <c r="D30" s="83"/>
      <c r="E30" s="18">
        <f t="shared" si="1"/>
        <v>0</v>
      </c>
      <c r="F30" s="10"/>
      <c r="G30" s="83"/>
      <c r="H30" s="18">
        <f t="shared" si="2"/>
        <v>0</v>
      </c>
      <c r="I30" s="10"/>
      <c r="J30" s="51"/>
      <c r="K30" s="18"/>
      <c r="L30" s="99"/>
      <c r="M30" s="95">
        <f t="shared" si="3"/>
        <v>0</v>
      </c>
      <c r="N30" s="90">
        <f t="shared" si="4"/>
        <v>0</v>
      </c>
      <c r="O30" s="10"/>
      <c r="P30" s="51"/>
      <c r="Q30" s="18">
        <f t="shared" si="5"/>
        <v>0</v>
      </c>
      <c r="R30" s="10"/>
      <c r="S30" s="83"/>
      <c r="T30" s="18">
        <f t="shared" si="6"/>
        <v>0</v>
      </c>
      <c r="U30" s="10"/>
      <c r="V30" s="6" t="str">
        <f t="shared" si="7"/>
        <v/>
      </c>
      <c r="W30" s="100" t="str">
        <f t="shared" si="8"/>
        <v/>
      </c>
      <c r="X30" s="6"/>
      <c r="Y30" s="6" t="str">
        <f t="shared" si="9"/>
        <v/>
      </c>
    </row>
    <row r="31" spans="1:25" x14ac:dyDescent="0.4">
      <c r="A31" s="49">
        <v>12</v>
      </c>
      <c r="B31" s="50"/>
      <c r="C31" s="80"/>
      <c r="D31" s="83"/>
      <c r="E31" s="18">
        <f t="shared" si="1"/>
        <v>0</v>
      </c>
      <c r="F31" s="10"/>
      <c r="G31" s="83"/>
      <c r="H31" s="18">
        <f t="shared" si="2"/>
        <v>0</v>
      </c>
      <c r="I31" s="10"/>
      <c r="J31" s="51"/>
      <c r="K31" s="18"/>
      <c r="L31" s="99"/>
      <c r="M31" s="95">
        <f t="shared" si="3"/>
        <v>0</v>
      </c>
      <c r="N31" s="90">
        <f t="shared" si="4"/>
        <v>0</v>
      </c>
      <c r="O31" s="10"/>
      <c r="P31" s="51"/>
      <c r="Q31" s="18">
        <f t="shared" si="5"/>
        <v>0</v>
      </c>
      <c r="R31" s="10"/>
      <c r="S31" s="83"/>
      <c r="T31" s="18">
        <f t="shared" si="6"/>
        <v>0</v>
      </c>
      <c r="U31" s="10"/>
      <c r="V31" s="6" t="str">
        <f t="shared" si="7"/>
        <v/>
      </c>
      <c r="W31" s="100" t="str">
        <f t="shared" si="8"/>
        <v/>
      </c>
      <c r="X31" s="6"/>
      <c r="Y31" s="6" t="str">
        <f t="shared" si="9"/>
        <v/>
      </c>
    </row>
    <row r="32" spans="1:25" x14ac:dyDescent="0.4">
      <c r="A32" s="49">
        <v>13</v>
      </c>
      <c r="B32" s="50"/>
      <c r="C32" s="80"/>
      <c r="D32" s="83"/>
      <c r="E32" s="18">
        <f t="shared" si="1"/>
        <v>0</v>
      </c>
      <c r="F32" s="10"/>
      <c r="G32" s="83"/>
      <c r="H32" s="18">
        <f t="shared" si="2"/>
        <v>0</v>
      </c>
      <c r="I32" s="10"/>
      <c r="J32" s="51"/>
      <c r="K32" s="18"/>
      <c r="L32" s="99"/>
      <c r="M32" s="95">
        <f t="shared" si="3"/>
        <v>0</v>
      </c>
      <c r="N32" s="90">
        <f t="shared" si="4"/>
        <v>0</v>
      </c>
      <c r="O32" s="10"/>
      <c r="P32" s="51"/>
      <c r="Q32" s="18">
        <f t="shared" si="5"/>
        <v>0</v>
      </c>
      <c r="R32" s="10"/>
      <c r="S32" s="83"/>
      <c r="T32" s="18">
        <f t="shared" si="6"/>
        <v>0</v>
      </c>
      <c r="U32" s="10"/>
      <c r="V32" s="6" t="str">
        <f t="shared" si="7"/>
        <v/>
      </c>
      <c r="W32" s="100" t="str">
        <f t="shared" si="8"/>
        <v/>
      </c>
      <c r="X32" s="6"/>
      <c r="Y32" s="6" t="str">
        <f t="shared" si="9"/>
        <v/>
      </c>
    </row>
    <row r="33" spans="1:25" x14ac:dyDescent="0.4">
      <c r="A33" s="49">
        <v>14</v>
      </c>
      <c r="B33" s="50"/>
      <c r="C33" s="80"/>
      <c r="D33" s="83"/>
      <c r="E33" s="18">
        <f t="shared" si="1"/>
        <v>0</v>
      </c>
      <c r="F33" s="10"/>
      <c r="G33" s="83"/>
      <c r="H33" s="18">
        <f t="shared" si="2"/>
        <v>0</v>
      </c>
      <c r="I33" s="10"/>
      <c r="J33" s="51"/>
      <c r="K33" s="18"/>
      <c r="L33" s="99"/>
      <c r="M33" s="95">
        <f t="shared" si="3"/>
        <v>0</v>
      </c>
      <c r="N33" s="90">
        <f t="shared" si="4"/>
        <v>0</v>
      </c>
      <c r="O33" s="10"/>
      <c r="P33" s="51"/>
      <c r="Q33" s="18">
        <f t="shared" si="5"/>
        <v>0</v>
      </c>
      <c r="R33" s="10"/>
      <c r="S33" s="83"/>
      <c r="T33" s="18">
        <f t="shared" si="6"/>
        <v>0</v>
      </c>
      <c r="U33" s="10"/>
      <c r="V33" s="6" t="str">
        <f t="shared" si="7"/>
        <v/>
      </c>
      <c r="W33" s="100" t="str">
        <f t="shared" si="8"/>
        <v/>
      </c>
      <c r="X33" s="6"/>
      <c r="Y33" s="6" t="str">
        <f t="shared" si="9"/>
        <v/>
      </c>
    </row>
    <row r="34" spans="1:25" x14ac:dyDescent="0.4">
      <c r="A34" s="49">
        <v>15</v>
      </c>
      <c r="B34" s="50"/>
      <c r="C34" s="80"/>
      <c r="D34" s="83"/>
      <c r="E34" s="18">
        <f t="shared" si="1"/>
        <v>0</v>
      </c>
      <c r="F34" s="10"/>
      <c r="G34" s="83"/>
      <c r="H34" s="18">
        <f t="shared" si="2"/>
        <v>0</v>
      </c>
      <c r="I34" s="10"/>
      <c r="J34" s="51"/>
      <c r="K34" s="18"/>
      <c r="L34" s="99"/>
      <c r="M34" s="95">
        <f t="shared" si="3"/>
        <v>0</v>
      </c>
      <c r="N34" s="90">
        <f t="shared" si="4"/>
        <v>0</v>
      </c>
      <c r="O34" s="10"/>
      <c r="P34" s="51"/>
      <c r="Q34" s="18">
        <f t="shared" si="5"/>
        <v>0</v>
      </c>
      <c r="R34" s="10"/>
      <c r="S34" s="83"/>
      <c r="T34" s="18">
        <f t="shared" si="6"/>
        <v>0</v>
      </c>
      <c r="U34" s="10"/>
      <c r="V34" s="6" t="str">
        <f t="shared" si="7"/>
        <v/>
      </c>
      <c r="W34" s="100" t="str">
        <f t="shared" si="8"/>
        <v/>
      </c>
      <c r="X34" s="6"/>
      <c r="Y34" s="6" t="str">
        <f t="shared" si="9"/>
        <v/>
      </c>
    </row>
    <row r="35" spans="1:25" x14ac:dyDescent="0.4">
      <c r="A35" s="49">
        <v>16</v>
      </c>
      <c r="B35" s="50"/>
      <c r="C35" s="80"/>
      <c r="D35" s="83"/>
      <c r="E35" s="18">
        <f t="shared" si="1"/>
        <v>0</v>
      </c>
      <c r="F35" s="10"/>
      <c r="G35" s="83"/>
      <c r="H35" s="18">
        <f t="shared" si="2"/>
        <v>0</v>
      </c>
      <c r="I35" s="10"/>
      <c r="J35" s="51"/>
      <c r="K35" s="18"/>
      <c r="L35" s="99"/>
      <c r="M35" s="95">
        <f t="shared" si="3"/>
        <v>0</v>
      </c>
      <c r="N35" s="90">
        <f t="shared" si="4"/>
        <v>0</v>
      </c>
      <c r="O35" s="10"/>
      <c r="P35" s="51"/>
      <c r="Q35" s="18">
        <f t="shared" si="5"/>
        <v>0</v>
      </c>
      <c r="R35" s="10"/>
      <c r="S35" s="83"/>
      <c r="T35" s="18">
        <f t="shared" si="6"/>
        <v>0</v>
      </c>
      <c r="U35" s="10"/>
      <c r="V35" s="6" t="str">
        <f t="shared" si="7"/>
        <v/>
      </c>
      <c r="W35" s="100" t="str">
        <f t="shared" si="8"/>
        <v/>
      </c>
      <c r="X35" s="6"/>
      <c r="Y35" s="6" t="str">
        <f t="shared" si="9"/>
        <v/>
      </c>
    </row>
    <row r="36" spans="1:25" x14ac:dyDescent="0.4">
      <c r="A36" s="49">
        <v>17</v>
      </c>
      <c r="B36" s="50"/>
      <c r="C36" s="80"/>
      <c r="D36" s="83"/>
      <c r="E36" s="18">
        <f t="shared" si="1"/>
        <v>0</v>
      </c>
      <c r="F36" s="10"/>
      <c r="G36" s="83"/>
      <c r="H36" s="18">
        <f t="shared" si="2"/>
        <v>0</v>
      </c>
      <c r="I36" s="10"/>
      <c r="J36" s="51"/>
      <c r="K36" s="18"/>
      <c r="L36" s="99"/>
      <c r="M36" s="95">
        <f t="shared" si="3"/>
        <v>0</v>
      </c>
      <c r="N36" s="90">
        <f t="shared" si="4"/>
        <v>0</v>
      </c>
      <c r="O36" s="10"/>
      <c r="P36" s="51"/>
      <c r="Q36" s="18">
        <f t="shared" si="5"/>
        <v>0</v>
      </c>
      <c r="R36" s="10"/>
      <c r="S36" s="83"/>
      <c r="T36" s="18">
        <f t="shared" si="6"/>
        <v>0</v>
      </c>
      <c r="U36" s="10"/>
      <c r="V36" s="6" t="str">
        <f t="shared" si="7"/>
        <v/>
      </c>
      <c r="W36" s="100" t="str">
        <f t="shared" si="8"/>
        <v/>
      </c>
      <c r="X36" s="6"/>
      <c r="Y36" s="6" t="str">
        <f t="shared" si="9"/>
        <v/>
      </c>
    </row>
    <row r="37" spans="1:25" x14ac:dyDescent="0.4">
      <c r="A37" s="49">
        <v>18</v>
      </c>
      <c r="B37" s="50"/>
      <c r="C37" s="80"/>
      <c r="D37" s="83"/>
      <c r="E37" s="18">
        <f t="shared" si="1"/>
        <v>0</v>
      </c>
      <c r="F37" s="10"/>
      <c r="G37" s="83"/>
      <c r="H37" s="18">
        <f t="shared" si="2"/>
        <v>0</v>
      </c>
      <c r="I37" s="10"/>
      <c r="J37" s="51"/>
      <c r="K37" s="18"/>
      <c r="L37" s="99"/>
      <c r="M37" s="95">
        <f t="shared" si="3"/>
        <v>0</v>
      </c>
      <c r="N37" s="90">
        <f t="shared" si="4"/>
        <v>0</v>
      </c>
      <c r="O37" s="10"/>
      <c r="P37" s="51"/>
      <c r="Q37" s="18">
        <f t="shared" si="5"/>
        <v>0</v>
      </c>
      <c r="R37" s="10"/>
      <c r="S37" s="83"/>
      <c r="T37" s="18">
        <f t="shared" si="6"/>
        <v>0</v>
      </c>
      <c r="U37" s="10"/>
      <c r="V37" s="6" t="str">
        <f t="shared" si="7"/>
        <v/>
      </c>
      <c r="W37" s="100" t="str">
        <f t="shared" si="8"/>
        <v/>
      </c>
      <c r="X37" s="6"/>
      <c r="Y37" s="6" t="str">
        <f t="shared" si="9"/>
        <v/>
      </c>
    </row>
    <row r="38" spans="1:25" x14ac:dyDescent="0.4">
      <c r="A38" s="49">
        <v>19</v>
      </c>
      <c r="B38" s="50"/>
      <c r="C38" s="80"/>
      <c r="D38" s="83"/>
      <c r="E38" s="18">
        <f t="shared" si="1"/>
        <v>0</v>
      </c>
      <c r="F38" s="10"/>
      <c r="G38" s="83"/>
      <c r="H38" s="18">
        <f t="shared" si="2"/>
        <v>0</v>
      </c>
      <c r="I38" s="10"/>
      <c r="J38" s="51"/>
      <c r="K38" s="18"/>
      <c r="L38" s="99"/>
      <c r="M38" s="95">
        <f t="shared" si="3"/>
        <v>0</v>
      </c>
      <c r="N38" s="90">
        <f t="shared" si="4"/>
        <v>0</v>
      </c>
      <c r="O38" s="10"/>
      <c r="P38" s="51"/>
      <c r="Q38" s="18">
        <f t="shared" si="5"/>
        <v>0</v>
      </c>
      <c r="R38" s="10"/>
      <c r="S38" s="83"/>
      <c r="T38" s="18">
        <f t="shared" si="6"/>
        <v>0</v>
      </c>
      <c r="U38" s="10"/>
      <c r="V38" s="6" t="str">
        <f t="shared" si="7"/>
        <v/>
      </c>
      <c r="W38" s="100" t="str">
        <f t="shared" si="8"/>
        <v/>
      </c>
      <c r="X38" s="6"/>
      <c r="Y38" s="6" t="str">
        <f t="shared" si="9"/>
        <v/>
      </c>
    </row>
    <row r="39" spans="1:25" x14ac:dyDescent="0.4">
      <c r="A39" s="49">
        <v>20</v>
      </c>
      <c r="B39" s="50"/>
      <c r="C39" s="80"/>
      <c r="D39" s="83"/>
      <c r="E39" s="18">
        <f t="shared" si="1"/>
        <v>0</v>
      </c>
      <c r="F39" s="10"/>
      <c r="G39" s="83"/>
      <c r="H39" s="18">
        <f t="shared" si="2"/>
        <v>0</v>
      </c>
      <c r="I39" s="10"/>
      <c r="J39" s="51"/>
      <c r="K39" s="18"/>
      <c r="L39" s="99"/>
      <c r="M39" s="95">
        <f t="shared" si="3"/>
        <v>0</v>
      </c>
      <c r="N39" s="90">
        <f t="shared" si="4"/>
        <v>0</v>
      </c>
      <c r="O39" s="10"/>
      <c r="P39" s="51"/>
      <c r="Q39" s="18">
        <f t="shared" si="5"/>
        <v>0</v>
      </c>
      <c r="R39" s="10"/>
      <c r="S39" s="83"/>
      <c r="T39" s="18">
        <f t="shared" si="6"/>
        <v>0</v>
      </c>
      <c r="U39" s="10"/>
      <c r="V39" s="6" t="str">
        <f t="shared" si="7"/>
        <v/>
      </c>
      <c r="W39" s="100" t="str">
        <f t="shared" si="8"/>
        <v/>
      </c>
      <c r="X39" s="6"/>
      <c r="Y39" s="6" t="str">
        <f t="shared" si="9"/>
        <v/>
      </c>
    </row>
    <row r="40" spans="1:25" x14ac:dyDescent="0.4">
      <c r="A40" s="49">
        <v>21</v>
      </c>
      <c r="B40" s="50"/>
      <c r="C40" s="80"/>
      <c r="D40" s="83"/>
      <c r="E40" s="18">
        <f t="shared" si="1"/>
        <v>0</v>
      </c>
      <c r="F40" s="10"/>
      <c r="G40" s="83"/>
      <c r="H40" s="18">
        <f t="shared" si="2"/>
        <v>0</v>
      </c>
      <c r="I40" s="10"/>
      <c r="J40" s="51"/>
      <c r="K40" s="18"/>
      <c r="L40" s="99"/>
      <c r="M40" s="95">
        <f t="shared" si="3"/>
        <v>0</v>
      </c>
      <c r="N40" s="90">
        <f t="shared" si="4"/>
        <v>0</v>
      </c>
      <c r="O40" s="10"/>
      <c r="P40" s="51"/>
      <c r="Q40" s="18">
        <f t="shared" si="5"/>
        <v>0</v>
      </c>
      <c r="R40" s="10"/>
      <c r="S40" s="83"/>
      <c r="T40" s="18">
        <f t="shared" si="6"/>
        <v>0</v>
      </c>
      <c r="U40" s="10"/>
      <c r="V40" s="6" t="str">
        <f t="shared" si="7"/>
        <v/>
      </c>
      <c r="W40" s="100" t="str">
        <f t="shared" si="8"/>
        <v/>
      </c>
      <c r="X40" s="6"/>
      <c r="Y40" s="6" t="str">
        <f t="shared" si="9"/>
        <v/>
      </c>
    </row>
    <row r="41" spans="1:25" x14ac:dyDescent="0.4">
      <c r="A41" s="49">
        <v>22</v>
      </c>
      <c r="B41" s="50"/>
      <c r="C41" s="80"/>
      <c r="D41" s="83"/>
      <c r="E41" s="18">
        <f t="shared" si="1"/>
        <v>0</v>
      </c>
      <c r="F41" s="10"/>
      <c r="G41" s="83"/>
      <c r="H41" s="18">
        <f t="shared" si="2"/>
        <v>0</v>
      </c>
      <c r="I41" s="10"/>
      <c r="J41" s="51"/>
      <c r="K41" s="18"/>
      <c r="L41" s="99"/>
      <c r="M41" s="95">
        <f t="shared" si="3"/>
        <v>0</v>
      </c>
      <c r="N41" s="90">
        <f t="shared" si="4"/>
        <v>0</v>
      </c>
      <c r="O41" s="10"/>
      <c r="P41" s="51"/>
      <c r="Q41" s="18">
        <f t="shared" si="5"/>
        <v>0</v>
      </c>
      <c r="R41" s="10"/>
      <c r="S41" s="83"/>
      <c r="T41" s="18">
        <f t="shared" si="6"/>
        <v>0</v>
      </c>
      <c r="U41" s="10"/>
      <c r="V41" s="6" t="str">
        <f t="shared" si="7"/>
        <v/>
      </c>
      <c r="W41" s="100" t="str">
        <f t="shared" si="8"/>
        <v/>
      </c>
      <c r="X41" s="6"/>
      <c r="Y41" s="6" t="str">
        <f t="shared" si="9"/>
        <v/>
      </c>
    </row>
    <row r="42" spans="1:25" x14ac:dyDescent="0.4">
      <c r="A42" s="49">
        <v>23</v>
      </c>
      <c r="B42" s="50"/>
      <c r="C42" s="80"/>
      <c r="D42" s="83"/>
      <c r="E42" s="18">
        <f t="shared" si="1"/>
        <v>0</v>
      </c>
      <c r="F42" s="10"/>
      <c r="G42" s="83"/>
      <c r="H42" s="18">
        <f t="shared" si="2"/>
        <v>0</v>
      </c>
      <c r="I42" s="10"/>
      <c r="J42" s="51"/>
      <c r="K42" s="18"/>
      <c r="L42" s="99"/>
      <c r="M42" s="95">
        <f t="shared" si="3"/>
        <v>0</v>
      </c>
      <c r="N42" s="90">
        <f t="shared" si="4"/>
        <v>0</v>
      </c>
      <c r="O42" s="10"/>
      <c r="P42" s="51"/>
      <c r="Q42" s="18">
        <f t="shared" si="5"/>
        <v>0</v>
      </c>
      <c r="R42" s="10"/>
      <c r="S42" s="83"/>
      <c r="T42" s="18">
        <f t="shared" si="6"/>
        <v>0</v>
      </c>
      <c r="U42" s="10"/>
      <c r="V42" s="6" t="str">
        <f t="shared" si="7"/>
        <v/>
      </c>
      <c r="W42" s="100" t="str">
        <f t="shared" si="8"/>
        <v/>
      </c>
      <c r="X42" s="6"/>
      <c r="Y42" s="6" t="str">
        <f t="shared" si="9"/>
        <v/>
      </c>
    </row>
    <row r="43" spans="1:25" x14ac:dyDescent="0.4">
      <c r="A43" s="49">
        <v>24</v>
      </c>
      <c r="B43" s="50"/>
      <c r="C43" s="80"/>
      <c r="D43" s="83"/>
      <c r="E43" s="18">
        <f t="shared" si="1"/>
        <v>0</v>
      </c>
      <c r="F43" s="10"/>
      <c r="G43" s="83"/>
      <c r="H43" s="18">
        <f t="shared" si="2"/>
        <v>0</v>
      </c>
      <c r="I43" s="10"/>
      <c r="J43" s="51"/>
      <c r="K43" s="18"/>
      <c r="L43" s="99"/>
      <c r="M43" s="95">
        <f t="shared" si="3"/>
        <v>0</v>
      </c>
      <c r="N43" s="90">
        <f t="shared" si="4"/>
        <v>0</v>
      </c>
      <c r="O43" s="10"/>
      <c r="P43" s="51"/>
      <c r="Q43" s="18">
        <f t="shared" si="5"/>
        <v>0</v>
      </c>
      <c r="R43" s="10"/>
      <c r="S43" s="83"/>
      <c r="T43" s="18">
        <f t="shared" si="6"/>
        <v>0</v>
      </c>
      <c r="U43" s="10"/>
      <c r="V43" s="6" t="str">
        <f t="shared" si="7"/>
        <v/>
      </c>
      <c r="W43" s="100" t="str">
        <f t="shared" si="8"/>
        <v/>
      </c>
      <c r="X43" s="6"/>
      <c r="Y43" s="6" t="str">
        <f t="shared" si="9"/>
        <v/>
      </c>
    </row>
    <row r="44" spans="1:25" x14ac:dyDescent="0.4">
      <c r="A44" s="49">
        <v>25</v>
      </c>
      <c r="B44" s="50"/>
      <c r="C44" s="80"/>
      <c r="D44" s="83"/>
      <c r="E44" s="18">
        <f t="shared" si="1"/>
        <v>0</v>
      </c>
      <c r="F44" s="10"/>
      <c r="G44" s="83"/>
      <c r="H44" s="18">
        <f t="shared" si="2"/>
        <v>0</v>
      </c>
      <c r="I44" s="10"/>
      <c r="J44" s="51"/>
      <c r="K44" s="18"/>
      <c r="L44" s="99"/>
      <c r="M44" s="95">
        <f t="shared" si="3"/>
        <v>0</v>
      </c>
      <c r="N44" s="90">
        <f t="shared" si="4"/>
        <v>0</v>
      </c>
      <c r="O44" s="10"/>
      <c r="P44" s="51"/>
      <c r="Q44" s="18">
        <f t="shared" si="5"/>
        <v>0</v>
      </c>
      <c r="R44" s="10"/>
      <c r="S44" s="83"/>
      <c r="T44" s="18">
        <f t="shared" si="6"/>
        <v>0</v>
      </c>
      <c r="U44" s="10"/>
      <c r="V44" s="6" t="str">
        <f t="shared" si="7"/>
        <v/>
      </c>
      <c r="W44" s="100" t="str">
        <f t="shared" si="8"/>
        <v/>
      </c>
      <c r="X44" s="6"/>
      <c r="Y44" s="6" t="str">
        <f t="shared" si="9"/>
        <v/>
      </c>
    </row>
    <row r="45" spans="1:25" x14ac:dyDescent="0.4">
      <c r="A45" s="49">
        <v>26</v>
      </c>
      <c r="B45" s="50"/>
      <c r="C45" s="80"/>
      <c r="D45" s="83"/>
      <c r="E45" s="18">
        <f t="shared" si="1"/>
        <v>0</v>
      </c>
      <c r="F45" s="10"/>
      <c r="G45" s="83"/>
      <c r="H45" s="18">
        <f t="shared" si="2"/>
        <v>0</v>
      </c>
      <c r="I45" s="10"/>
      <c r="J45" s="51"/>
      <c r="K45" s="18"/>
      <c r="L45" s="99"/>
      <c r="M45" s="95">
        <f t="shared" si="3"/>
        <v>0</v>
      </c>
      <c r="N45" s="90">
        <f t="shared" si="4"/>
        <v>0</v>
      </c>
      <c r="O45" s="10"/>
      <c r="P45" s="51"/>
      <c r="Q45" s="18">
        <f t="shared" si="5"/>
        <v>0</v>
      </c>
      <c r="R45" s="10"/>
      <c r="S45" s="83"/>
      <c r="T45" s="18">
        <f t="shared" si="6"/>
        <v>0</v>
      </c>
      <c r="U45" s="10"/>
      <c r="V45" s="6" t="str">
        <f t="shared" si="7"/>
        <v/>
      </c>
      <c r="W45" s="100" t="str">
        <f t="shared" si="8"/>
        <v/>
      </c>
      <c r="X45" s="6"/>
      <c r="Y45" s="6" t="str">
        <f t="shared" si="9"/>
        <v/>
      </c>
    </row>
    <row r="46" spans="1:25" x14ac:dyDescent="0.4">
      <c r="A46" s="49">
        <v>27</v>
      </c>
      <c r="B46" s="50"/>
      <c r="C46" s="80"/>
      <c r="D46" s="83"/>
      <c r="E46" s="18">
        <f t="shared" si="1"/>
        <v>0</v>
      </c>
      <c r="F46" s="10"/>
      <c r="G46" s="83"/>
      <c r="H46" s="18">
        <f t="shared" si="2"/>
        <v>0</v>
      </c>
      <c r="I46" s="10"/>
      <c r="J46" s="51"/>
      <c r="K46" s="18"/>
      <c r="L46" s="99"/>
      <c r="M46" s="95">
        <f t="shared" si="3"/>
        <v>0</v>
      </c>
      <c r="N46" s="90">
        <f t="shared" si="4"/>
        <v>0</v>
      </c>
      <c r="O46" s="10"/>
      <c r="P46" s="51"/>
      <c r="Q46" s="18">
        <f t="shared" si="5"/>
        <v>0</v>
      </c>
      <c r="R46" s="10"/>
      <c r="S46" s="83"/>
      <c r="T46" s="18">
        <f t="shared" si="6"/>
        <v>0</v>
      </c>
      <c r="U46" s="10"/>
      <c r="V46" s="6" t="str">
        <f t="shared" si="7"/>
        <v/>
      </c>
      <c r="W46" s="100" t="str">
        <f t="shared" si="8"/>
        <v/>
      </c>
      <c r="X46" s="6"/>
      <c r="Y46" s="6" t="str">
        <f t="shared" si="9"/>
        <v/>
      </c>
    </row>
    <row r="47" spans="1:25" x14ac:dyDescent="0.4">
      <c r="A47" s="49">
        <v>28</v>
      </c>
      <c r="B47" s="50"/>
      <c r="C47" s="80"/>
      <c r="D47" s="83"/>
      <c r="E47" s="18">
        <f t="shared" si="1"/>
        <v>0</v>
      </c>
      <c r="F47" s="10"/>
      <c r="G47" s="83"/>
      <c r="H47" s="18">
        <f t="shared" si="2"/>
        <v>0</v>
      </c>
      <c r="I47" s="10"/>
      <c r="J47" s="51"/>
      <c r="K47" s="18"/>
      <c r="L47" s="99"/>
      <c r="M47" s="95">
        <f t="shared" si="3"/>
        <v>0</v>
      </c>
      <c r="N47" s="90">
        <f t="shared" si="4"/>
        <v>0</v>
      </c>
      <c r="O47" s="10"/>
      <c r="P47" s="51"/>
      <c r="Q47" s="18">
        <f t="shared" si="5"/>
        <v>0</v>
      </c>
      <c r="R47" s="10"/>
      <c r="S47" s="83"/>
      <c r="T47" s="18">
        <f t="shared" si="6"/>
        <v>0</v>
      </c>
      <c r="U47" s="10"/>
      <c r="V47" s="6" t="str">
        <f t="shared" si="7"/>
        <v/>
      </c>
      <c r="W47" s="100" t="str">
        <f t="shared" si="8"/>
        <v/>
      </c>
      <c r="X47" s="6"/>
      <c r="Y47" s="6" t="str">
        <f t="shared" si="9"/>
        <v/>
      </c>
    </row>
    <row r="48" spans="1:25" x14ac:dyDescent="0.4">
      <c r="A48" s="49">
        <v>29</v>
      </c>
      <c r="B48" s="50"/>
      <c r="C48" s="80"/>
      <c r="D48" s="83"/>
      <c r="E48" s="18">
        <f t="shared" si="1"/>
        <v>0</v>
      </c>
      <c r="F48" s="10"/>
      <c r="G48" s="83"/>
      <c r="H48" s="18">
        <f t="shared" si="2"/>
        <v>0</v>
      </c>
      <c r="I48" s="10"/>
      <c r="J48" s="51"/>
      <c r="K48" s="18"/>
      <c r="L48" s="99"/>
      <c r="M48" s="95">
        <f t="shared" si="3"/>
        <v>0</v>
      </c>
      <c r="N48" s="90">
        <f t="shared" si="4"/>
        <v>0</v>
      </c>
      <c r="O48" s="10"/>
      <c r="P48" s="51"/>
      <c r="Q48" s="18">
        <f t="shared" si="5"/>
        <v>0</v>
      </c>
      <c r="R48" s="10"/>
      <c r="S48" s="83"/>
      <c r="T48" s="18">
        <f t="shared" si="6"/>
        <v>0</v>
      </c>
      <c r="U48" s="10"/>
      <c r="V48" s="6" t="str">
        <f t="shared" si="7"/>
        <v/>
      </c>
      <c r="W48" s="100" t="str">
        <f t="shared" si="8"/>
        <v/>
      </c>
      <c r="X48" s="6"/>
      <c r="Y48" s="6" t="str">
        <f t="shared" si="9"/>
        <v/>
      </c>
    </row>
    <row r="49" spans="1:25" ht="18.5" thickBot="1" x14ac:dyDescent="0.45">
      <c r="A49" s="52">
        <v>30</v>
      </c>
      <c r="B49" s="53"/>
      <c r="C49" s="81"/>
      <c r="D49" s="84"/>
      <c r="E49" s="20">
        <f t="shared" si="1"/>
        <v>0</v>
      </c>
      <c r="F49" s="25"/>
      <c r="G49" s="84"/>
      <c r="H49" s="20">
        <f t="shared" si="2"/>
        <v>0</v>
      </c>
      <c r="I49" s="25"/>
      <c r="J49" s="54"/>
      <c r="K49" s="20"/>
      <c r="L49" s="101"/>
      <c r="M49" s="96">
        <f t="shared" si="3"/>
        <v>0</v>
      </c>
      <c r="N49" s="91">
        <f t="shared" si="4"/>
        <v>0</v>
      </c>
      <c r="O49" s="25"/>
      <c r="P49" s="54"/>
      <c r="Q49" s="20">
        <f t="shared" si="5"/>
        <v>0</v>
      </c>
      <c r="R49" s="25"/>
      <c r="S49" s="84"/>
      <c r="T49" s="20">
        <f t="shared" si="6"/>
        <v>0</v>
      </c>
      <c r="U49" s="25"/>
      <c r="V49" s="7" t="str">
        <f t="shared" si="7"/>
        <v/>
      </c>
      <c r="W49" s="102" t="str">
        <f t="shared" si="8"/>
        <v/>
      </c>
      <c r="X49" s="7"/>
      <c r="Y49" s="7" t="str">
        <f t="shared" si="9"/>
        <v/>
      </c>
    </row>
    <row r="50" spans="1:25" s="38" customFormat="1" ht="22.5" customHeight="1" thickBot="1" x14ac:dyDescent="0.4">
      <c r="A50" s="55"/>
      <c r="B50" s="56" t="s">
        <v>20</v>
      </c>
      <c r="C50" s="57"/>
      <c r="D50" s="58" t="str">
        <f>IFERROR(AVERAGE(D20:D49),"")</f>
        <v/>
      </c>
      <c r="E50" s="15"/>
      <c r="F50" s="25"/>
      <c r="G50" s="61" t="str">
        <f>IFERROR(AVERAGE(G20:G49),"")</f>
        <v/>
      </c>
      <c r="H50" s="15"/>
      <c r="I50" s="25"/>
      <c r="J50" s="59"/>
      <c r="K50" s="15"/>
      <c r="L50" s="16"/>
      <c r="M50" s="61"/>
      <c r="N50" s="89">
        <f>AVERAGE(N20:N49)</f>
        <v>0</v>
      </c>
      <c r="O50" s="60"/>
      <c r="P50" s="61"/>
      <c r="Q50" s="15"/>
      <c r="R50" s="25"/>
      <c r="S50" s="59"/>
      <c r="T50" s="15"/>
      <c r="U50" s="62"/>
      <c r="V50" s="63"/>
      <c r="W50" s="63"/>
      <c r="X50" s="64"/>
      <c r="Y50" s="64"/>
    </row>
    <row r="51" spans="1:25" s="38" customFormat="1" ht="11.25" customHeight="1" x14ac:dyDescent="0.35">
      <c r="B51" s="37"/>
      <c r="C51" s="65"/>
      <c r="D51" s="22"/>
      <c r="E51" s="19"/>
      <c r="F51" s="10"/>
      <c r="G51" s="22"/>
      <c r="H51" s="19"/>
      <c r="I51" s="10"/>
      <c r="J51" s="22"/>
      <c r="K51" s="19"/>
      <c r="L51" s="19"/>
      <c r="M51" s="22"/>
      <c r="N51" s="22"/>
      <c r="O51" s="66"/>
      <c r="P51" s="22"/>
      <c r="Q51" s="19"/>
      <c r="R51" s="10"/>
      <c r="S51" s="22"/>
      <c r="T51" s="19"/>
      <c r="U51" s="67"/>
      <c r="V51" s="68"/>
      <c r="W51" s="68"/>
    </row>
    <row r="52" spans="1:25" s="38" customFormat="1" x14ac:dyDescent="0.35">
      <c r="B52" s="37"/>
      <c r="C52" s="65"/>
      <c r="D52" s="22"/>
      <c r="E52" s="19"/>
      <c r="F52" s="10"/>
      <c r="G52" s="22"/>
      <c r="H52" s="19"/>
      <c r="I52" s="10"/>
      <c r="J52" s="22"/>
      <c r="K52" s="19"/>
      <c r="L52" s="19"/>
      <c r="M52" s="22"/>
      <c r="N52" s="170"/>
      <c r="O52" s="170"/>
      <c r="P52" s="170"/>
      <c r="Q52" s="170"/>
      <c r="R52" s="170"/>
      <c r="S52" s="170"/>
      <c r="T52" s="170" t="s">
        <v>44</v>
      </c>
      <c r="U52" s="170"/>
      <c r="V52" s="14" t="s">
        <v>18</v>
      </c>
      <c r="W52" s="68"/>
    </row>
    <row r="53" spans="1:25" s="38" customFormat="1" x14ac:dyDescent="0.4">
      <c r="A53" s="69"/>
      <c r="B53" s="69"/>
      <c r="C53" s="69"/>
      <c r="D53" s="171"/>
      <c r="E53" s="171"/>
      <c r="F53" s="19"/>
      <c r="G53" s="171"/>
      <c r="H53" s="171"/>
      <c r="I53" s="19"/>
      <c r="J53" s="171"/>
      <c r="K53" s="171"/>
      <c r="L53" s="22"/>
      <c r="M53" s="9"/>
      <c r="N53" s="172" t="s">
        <v>45</v>
      </c>
      <c r="O53" s="172"/>
      <c r="P53" s="172"/>
      <c r="Q53" s="172"/>
      <c r="R53" s="172"/>
      <c r="S53" s="172"/>
      <c r="T53" s="166">
        <f>F57+F58+N57</f>
        <v>0</v>
      </c>
      <c r="U53" s="168"/>
      <c r="V53" s="14">
        <f>IFERROR(T53/C57*100,0)</f>
        <v>0</v>
      </c>
      <c r="W53" s="21"/>
      <c r="X53" s="70"/>
    </row>
    <row r="54" spans="1:25" s="38" customFormat="1" ht="15.75" customHeight="1" x14ac:dyDescent="0.4">
      <c r="A54" s="69"/>
      <c r="B54" s="69"/>
      <c r="C54" s="69"/>
      <c r="D54" s="171"/>
      <c r="E54" s="171"/>
      <c r="F54" s="19"/>
      <c r="G54" s="171"/>
      <c r="H54" s="171"/>
      <c r="I54" s="19"/>
      <c r="J54" s="171"/>
      <c r="K54" s="171"/>
      <c r="L54" s="22"/>
      <c r="M54" s="9"/>
      <c r="N54" s="172" t="s">
        <v>21</v>
      </c>
      <c r="O54" s="172"/>
      <c r="P54" s="172"/>
      <c r="Q54" s="172"/>
      <c r="R54" s="172"/>
      <c r="S54" s="172"/>
      <c r="T54" s="166">
        <f>F57+F58</f>
        <v>0</v>
      </c>
      <c r="U54" s="168"/>
      <c r="V54" s="14">
        <f>IFERROR(T54/C57*100,0)</f>
        <v>0</v>
      </c>
      <c r="W54" s="21"/>
      <c r="X54" s="70"/>
    </row>
    <row r="55" spans="1:25" s="38" customFormat="1" x14ac:dyDescent="0.4">
      <c r="A55" s="8"/>
      <c r="B55" s="8"/>
      <c r="C55" s="69"/>
      <c r="D55" s="22"/>
      <c r="E55" s="22"/>
      <c r="F55" s="19"/>
      <c r="G55" s="22"/>
      <c r="H55" s="22"/>
      <c r="I55" s="19"/>
      <c r="J55" s="22"/>
      <c r="K55" s="22"/>
      <c r="L55" s="22"/>
      <c r="M55" s="22"/>
      <c r="N55" s="19"/>
      <c r="O55" s="19"/>
      <c r="P55" s="19"/>
      <c r="Q55" s="19"/>
      <c r="R55" s="19"/>
      <c r="S55" s="19"/>
      <c r="T55" s="19"/>
      <c r="U55" s="19"/>
      <c r="V55" s="21"/>
      <c r="W55" s="21"/>
      <c r="X55" s="70"/>
    </row>
    <row r="56" spans="1:25" x14ac:dyDescent="0.4">
      <c r="A56" s="38"/>
      <c r="B56" s="38"/>
      <c r="C56" s="65"/>
      <c r="D56" s="164"/>
      <c r="E56" s="165"/>
      <c r="F56" s="164" t="s">
        <v>44</v>
      </c>
      <c r="G56" s="165"/>
      <c r="H56" s="14" t="s">
        <v>18</v>
      </c>
      <c r="J56" s="166"/>
      <c r="K56" s="167"/>
      <c r="L56" s="167"/>
      <c r="M56" s="168"/>
      <c r="N56" s="71" t="s">
        <v>44</v>
      </c>
      <c r="O56" s="72"/>
      <c r="P56" s="14" t="s">
        <v>18</v>
      </c>
      <c r="R56" s="169"/>
      <c r="S56" s="169"/>
      <c r="T56" s="169"/>
      <c r="U56" s="169"/>
      <c r="V56" s="73" t="s">
        <v>44</v>
      </c>
      <c r="W56" s="14" t="s">
        <v>18</v>
      </c>
      <c r="X56" s="19"/>
    </row>
    <row r="57" spans="1:25" x14ac:dyDescent="0.4">
      <c r="B57" s="74" t="s">
        <v>22</v>
      </c>
      <c r="C57" s="37">
        <f>COUNTA(B20:B49)</f>
        <v>0</v>
      </c>
      <c r="D57" s="173" t="s">
        <v>23</v>
      </c>
      <c r="E57" s="174"/>
      <c r="F57" s="173">
        <f>COUNTIF(Y20:Y49,"aʼlo")</f>
        <v>0</v>
      </c>
      <c r="G57" s="174"/>
      <c r="H57" s="75">
        <f>IFERROR(F57/C57*100,0)</f>
        <v>0</v>
      </c>
      <c r="J57" s="175" t="s">
        <v>36</v>
      </c>
      <c r="K57" s="176"/>
      <c r="L57" s="176"/>
      <c r="M57" s="177"/>
      <c r="N57" s="11">
        <f>COUNTIF(Y20:Y49,"oʻrta")</f>
        <v>0</v>
      </c>
      <c r="O57" s="12"/>
      <c r="P57" s="76">
        <f>IFERROR(N57/C57*100,0)</f>
        <v>0</v>
      </c>
      <c r="R57" s="178" t="s">
        <v>24</v>
      </c>
      <c r="S57" s="178"/>
      <c r="T57" s="178"/>
      <c r="U57" s="178"/>
      <c r="V57" s="13">
        <f>COUNTIF(Y20:Y49,"kelmadi")</f>
        <v>0</v>
      </c>
      <c r="W57" s="75">
        <f>IFERROR(V57/C57*100,0)</f>
        <v>0</v>
      </c>
      <c r="X57" s="70"/>
    </row>
    <row r="58" spans="1:25" x14ac:dyDescent="0.4">
      <c r="D58" s="173" t="s">
        <v>25</v>
      </c>
      <c r="E58" s="174"/>
      <c r="F58" s="173">
        <f>COUNTIF(Y20:Y49,"yaxshi")</f>
        <v>0</v>
      </c>
      <c r="G58" s="174"/>
      <c r="H58" s="75">
        <f>IFERROR(F58/C57*100,0)</f>
        <v>0</v>
      </c>
      <c r="J58" s="175" t="s">
        <v>38</v>
      </c>
      <c r="K58" s="176"/>
      <c r="L58" s="176"/>
      <c r="M58" s="177"/>
      <c r="N58" s="11">
        <f>COUNTIF(Y20:Y49,"qon-siz")</f>
        <v>0</v>
      </c>
      <c r="O58" s="12"/>
      <c r="P58" s="76">
        <f>IFERROR(N58/C57*100,0)</f>
        <v>0</v>
      </c>
      <c r="R58" s="178" t="s">
        <v>39</v>
      </c>
      <c r="S58" s="178"/>
      <c r="T58" s="178"/>
      <c r="U58" s="178"/>
      <c r="V58" s="13">
        <f>COUNTIF(Y20:Y49,"qoʻyilmadi")</f>
        <v>0</v>
      </c>
      <c r="W58" s="75">
        <f>IFERROR(V58/C57*100,0)</f>
        <v>0</v>
      </c>
      <c r="X58" s="70"/>
    </row>
    <row r="59" spans="1:25" x14ac:dyDescent="0.4">
      <c r="D59" s="23"/>
      <c r="E59" s="23"/>
      <c r="F59" s="23"/>
      <c r="G59" s="23"/>
      <c r="H59" s="70"/>
      <c r="K59" s="23"/>
      <c r="L59" s="23"/>
      <c r="M59" s="23"/>
      <c r="N59" s="23"/>
      <c r="O59" s="23"/>
      <c r="P59" s="23"/>
      <c r="Q59" s="70"/>
      <c r="T59" s="23"/>
      <c r="U59" s="23"/>
      <c r="V59" s="23"/>
      <c r="W59" s="23"/>
    </row>
    <row r="60" spans="1:25" x14ac:dyDescent="0.4">
      <c r="A60" s="48"/>
      <c r="B60" s="36" t="s">
        <v>31</v>
      </c>
      <c r="C60" s="77"/>
      <c r="E60" s="179" t="s">
        <v>52</v>
      </c>
      <c r="F60" s="179"/>
      <c r="G60" s="179"/>
      <c r="H60" s="179"/>
      <c r="N60" s="180" t="s">
        <v>26</v>
      </c>
      <c r="O60" s="180"/>
      <c r="P60" s="180"/>
      <c r="Q60" s="180"/>
      <c r="R60" s="181"/>
      <c r="S60" s="181"/>
      <c r="U60" s="182"/>
      <c r="V60" s="182"/>
      <c r="W60" s="182"/>
    </row>
    <row r="61" spans="1:25" ht="30.75" customHeight="1" x14ac:dyDescent="0.4">
      <c r="A61" s="48"/>
      <c r="B61" s="92" t="s">
        <v>40</v>
      </c>
      <c r="C61" s="93" t="s">
        <v>43</v>
      </c>
      <c r="D61" s="93"/>
      <c r="E61" s="183" t="s">
        <v>28</v>
      </c>
      <c r="F61" s="183"/>
      <c r="G61" s="183"/>
      <c r="H61" s="183"/>
      <c r="I61" s="93"/>
      <c r="J61" s="93"/>
      <c r="K61" s="93"/>
      <c r="L61" s="93"/>
      <c r="M61" s="93"/>
      <c r="N61" s="93"/>
      <c r="O61" s="93"/>
      <c r="P61" s="93"/>
      <c r="Q61" s="93"/>
      <c r="R61" s="183" t="s">
        <v>27</v>
      </c>
      <c r="S61" s="183"/>
      <c r="T61" s="93"/>
      <c r="U61" s="183" t="s">
        <v>28</v>
      </c>
      <c r="V61" s="183"/>
      <c r="W61" s="183"/>
    </row>
  </sheetData>
  <mergeCells count="80">
    <mergeCell ref="E60:H60"/>
    <mergeCell ref="N60:Q60"/>
    <mergeCell ref="R60:S60"/>
    <mergeCell ref="U60:W60"/>
    <mergeCell ref="E61:H61"/>
    <mergeCell ref="R61:S61"/>
    <mergeCell ref="U61:W61"/>
    <mergeCell ref="D57:E57"/>
    <mergeCell ref="F57:G57"/>
    <mergeCell ref="J57:M57"/>
    <mergeCell ref="R57:U57"/>
    <mergeCell ref="D58:E58"/>
    <mergeCell ref="F58:G58"/>
    <mergeCell ref="J58:M58"/>
    <mergeCell ref="R58:U58"/>
    <mergeCell ref="D56:E56"/>
    <mergeCell ref="F56:G56"/>
    <mergeCell ref="J56:M56"/>
    <mergeCell ref="R56:U56"/>
    <mergeCell ref="N52:S52"/>
    <mergeCell ref="T52:U52"/>
    <mergeCell ref="D53:E53"/>
    <mergeCell ref="G53:H53"/>
    <mergeCell ref="J53:K53"/>
    <mergeCell ref="N53:S53"/>
    <mergeCell ref="T53:U53"/>
    <mergeCell ref="D54:E54"/>
    <mergeCell ref="G54:H54"/>
    <mergeCell ref="J54:K54"/>
    <mergeCell ref="N54:S54"/>
    <mergeCell ref="T54:U54"/>
    <mergeCell ref="X15:X19"/>
    <mergeCell ref="Y15:Y19"/>
    <mergeCell ref="D17:E17"/>
    <mergeCell ref="F17:F19"/>
    <mergeCell ref="G17:H17"/>
    <mergeCell ref="I17:I19"/>
    <mergeCell ref="J17:K17"/>
    <mergeCell ref="M17:N17"/>
    <mergeCell ref="P17:Q17"/>
    <mergeCell ref="R17:R19"/>
    <mergeCell ref="S17:T17"/>
    <mergeCell ref="D19:E19"/>
    <mergeCell ref="G19:H19"/>
    <mergeCell ref="J19:K19"/>
    <mergeCell ref="M19:N19"/>
    <mergeCell ref="P19:Q19"/>
    <mergeCell ref="A13:C13"/>
    <mergeCell ref="K13:W13"/>
    <mergeCell ref="A15:A19"/>
    <mergeCell ref="B15:B19"/>
    <mergeCell ref="C15:C19"/>
    <mergeCell ref="D15:N16"/>
    <mergeCell ref="O15:O19"/>
    <mergeCell ref="P15:T16"/>
    <mergeCell ref="U15:U19"/>
    <mergeCell ref="V15:V18"/>
    <mergeCell ref="W15:W19"/>
    <mergeCell ref="S19:T19"/>
    <mergeCell ref="A11:B11"/>
    <mergeCell ref="C11:H11"/>
    <mergeCell ref="P11:T11"/>
    <mergeCell ref="U11:X11"/>
    <mergeCell ref="P12:T12"/>
    <mergeCell ref="U12:X12"/>
    <mergeCell ref="C1:X1"/>
    <mergeCell ref="A1:B1"/>
    <mergeCell ref="U10:X10"/>
    <mergeCell ref="A7:Y7"/>
    <mergeCell ref="A6:X6"/>
    <mergeCell ref="A2:X2"/>
    <mergeCell ref="A3:X3"/>
    <mergeCell ref="A4:X4"/>
    <mergeCell ref="A5:X5"/>
    <mergeCell ref="A8:B8"/>
    <mergeCell ref="C8:H8"/>
    <mergeCell ref="S8:T8"/>
    <mergeCell ref="A10:B10"/>
    <mergeCell ref="C10:H10"/>
    <mergeCell ref="P10:T10"/>
  </mergeCells>
  <conditionalFormatting sqref="A20:Y49">
    <cfRule type="expression" dxfId="6" priority="1" stopIfTrue="1">
      <formula>$V20=-2</formula>
    </cfRule>
    <cfRule type="expression" dxfId="5" priority="2" stopIfTrue="1">
      <formula>$V20=-1</formula>
    </cfRule>
    <cfRule type="expression" dxfId="4" priority="3">
      <formula>$V20=0</formula>
    </cfRule>
  </conditionalFormatting>
  <dataValidations count="2">
    <dataValidation type="decimal" allowBlank="1" showInputMessage="1" showErrorMessage="1" sqref="S20:S49 P20:P49 G20:G49 D20:D49" xr:uid="{00000000-0002-0000-0000-000001000000}">
      <formula1>0</formula1>
      <formula2>100</formula2>
    </dataValidation>
    <dataValidation type="list" allowBlank="1" showInputMessage="1" showErrorMessage="1" sqref="AA1" xr:uid="{00000000-0002-0000-0000-000002000000}">
      <formula1>$AH$1:$AH$2</formula1>
    </dataValidation>
  </dataValidations>
  <printOptions horizontalCentered="1"/>
  <pageMargins left="0.51181102362204722" right="0.51181102362204722" top="0.55118110236220474" bottom="0.55118110236220474" header="0" footer="0"/>
  <pageSetup paperSize="9" scale="4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d1_22-01</vt:lpstr>
      <vt:lpstr>'d1_22-01'!Область_печати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2025-12-09T16:42:39Z</dcterms:modified>
</cp:coreProperties>
</file>